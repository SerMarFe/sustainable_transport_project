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smf125_ic_ac_uk/Documents/Subjects/CIVE70117 - Sustainable Transport/Sustainability Project - Vueling/0. Data/1 Year Flight Data/"/>
    </mc:Choice>
  </mc:AlternateContent>
  <xr:revisionPtr revIDLastSave="0" documentId="8_{97E31276-7BFE-5B41-A499-265442D70E03}" xr6:coauthVersionLast="47" xr6:coauthVersionMax="47" xr10:uidLastSave="{00000000-0000-0000-0000-000000000000}"/>
  <bookViews>
    <workbookView xWindow="680" yWindow="660" windowWidth="28040" windowHeight="17160" xr2:uid="{8028CAC0-7857-C94E-ABD5-233358F735BF}"/>
  </bookViews>
  <sheets>
    <sheet name="year_flights_forecast" sheetId="4" r:id="rId1"/>
    <sheet name="vueling_historical_and_forecast" sheetId="1" r:id="rId2"/>
  </sheets>
  <calcPr calcId="191029"/>
  <pivotCaches>
    <pivotCache cacheId="1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2" i="1"/>
</calcChain>
</file>

<file path=xl/sharedStrings.xml><?xml version="1.0" encoding="utf-8"?>
<sst xmlns="http://schemas.openxmlformats.org/spreadsheetml/2006/main" count="2266" uniqueCount="161">
  <si>
    <t>year_month</t>
  </si>
  <si>
    <t>aircraft_type_icao</t>
  </si>
  <si>
    <t>flights_count</t>
  </si>
  <si>
    <t>LTO_CO2_sum</t>
  </si>
  <si>
    <t>CCD_CO2_sum</t>
  </si>
  <si>
    <t>Total_CO2_sum</t>
  </si>
  <si>
    <t>origin</t>
  </si>
  <si>
    <t>2025-02</t>
  </si>
  <si>
    <t>A319</t>
  </si>
  <si>
    <t>historical</t>
  </si>
  <si>
    <t>A320</t>
  </si>
  <si>
    <t>A320Neo</t>
  </si>
  <si>
    <t>A321</t>
  </si>
  <si>
    <t>2025-03</t>
  </si>
  <si>
    <t>2025-04</t>
  </si>
  <si>
    <t>2025-05</t>
  </si>
  <si>
    <t>A321Neo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</si>
  <si>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</si>
  <si>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</si>
  <si>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</si>
  <si>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</si>
  <si>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</si>
  <si>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</si>
  <si>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</si>
  <si>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</si>
  <si>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</si>
  <si>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forecast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</si>
  <si>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</si>
  <si>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</si>
  <si>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</si>
  <si>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</si>
  <si>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</si>
  <si>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</si>
  <si>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</si>
  <si>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</si>
  <si>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</si>
  <si>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</si>
  <si>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2027-01</t>
  </si>
  <si>
    <t>B38M</t>
  </si>
  <si>
    <t>2027-02</t>
  </si>
  <si>
    <t>2027-03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</si>
  <si>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</si>
  <si>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</si>
  <si>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</si>
  <si>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</si>
  <si>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</si>
  <si>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</si>
  <si>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</si>
  <si>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</si>
  <si>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2027-12</t>
  </si>
  <si>
    <t>2028-01</t>
  </si>
  <si>
    <t>2028-02</t>
  </si>
  <si>
    <t>2028-03</t>
  </si>
  <si>
    <t>2028-04</t>
  </si>
  <si>
    <t>2028-05</t>
  </si>
  <si>
    <t>2028-06</t>
  </si>
  <si>
    <t>2028-07</t>
  </si>
  <si>
    <t>2028-08</t>
  </si>
  <si>
    <t>2028-09</t>
  </si>
  <si>
    <t>2028-10</t>
  </si>
  <si>
    <t>2028-11</t>
  </si>
  <si>
    <t>2028-12</t>
  </si>
  <si>
    <t>2029-01</t>
  </si>
  <si>
    <t>2029-02</t>
  </si>
  <si>
    <t>2029-03</t>
  </si>
  <si>
    <t>2029-04</t>
  </si>
  <si>
    <t>2029-05</t>
  </si>
  <si>
    <t>2029-06</t>
  </si>
  <si>
    <t>2029-07</t>
  </si>
  <si>
    <t>2029-08</t>
  </si>
  <si>
    <t>2029-09</t>
  </si>
  <si>
    <t>2029-10</t>
  </si>
  <si>
    <t>2029-11</t>
  </si>
  <si>
    <t>2029-12</t>
  </si>
  <si>
    <t>2030-01</t>
  </si>
  <si>
    <t>2030-02</t>
  </si>
  <si>
    <t>2030-03</t>
  </si>
  <si>
    <t>2030-04</t>
  </si>
  <si>
    <t>2030-05</t>
  </si>
  <si>
    <t>2030-06</t>
  </si>
  <si>
    <t>2030-07</t>
  </si>
  <si>
    <t>2030-08</t>
  </si>
  <si>
    <t>2030-09</t>
  </si>
  <si>
    <t>2030-10</t>
  </si>
  <si>
    <t>2030-11</t>
  </si>
  <si>
    <t>2030-12</t>
  </si>
  <si>
    <t>2031-01</t>
  </si>
  <si>
    <t>2031-02</t>
  </si>
  <si>
    <t>2031-03</t>
  </si>
  <si>
    <t>2031-04</t>
  </si>
  <si>
    <t>2031-05</t>
  </si>
  <si>
    <t>2031-06</t>
  </si>
  <si>
    <t>2031-07</t>
  </si>
  <si>
    <t>2031-08</t>
  </si>
  <si>
    <t>2031-09</t>
  </si>
  <si>
    <t>2031-10</t>
  </si>
  <si>
    <t>2031-11</t>
  </si>
  <si>
    <t>2031-12</t>
  </si>
  <si>
    <t>2032-01</t>
  </si>
  <si>
    <t>2032-02</t>
  </si>
  <si>
    <t>2032-03</t>
  </si>
  <si>
    <t>2032-04</t>
  </si>
  <si>
    <t>2032-05</t>
  </si>
  <si>
    <t>2032-06</t>
  </si>
  <si>
    <t>2032-07</t>
  </si>
  <si>
    <t>2032-08</t>
  </si>
  <si>
    <t>2032-09</t>
  </si>
  <si>
    <t>2032-10</t>
  </si>
  <si>
    <t>2032-11</t>
  </si>
  <si>
    <t>2032-12</t>
  </si>
  <si>
    <t>2033-01</t>
  </si>
  <si>
    <t>2033-02</t>
  </si>
  <si>
    <t>2033-03</t>
  </si>
  <si>
    <t>2033-04</t>
  </si>
  <si>
    <t>2033-05</t>
  </si>
  <si>
    <t>2033-06</t>
  </si>
  <si>
    <t>2033-07</t>
  </si>
  <si>
    <t>2033-08</t>
  </si>
  <si>
    <t>2033-09</t>
  </si>
  <si>
    <t>2033-10</t>
  </si>
  <si>
    <t>2033-11</t>
  </si>
  <si>
    <t>2033-12</t>
  </si>
  <si>
    <t>2034-01</t>
  </si>
  <si>
    <t>2034-02</t>
  </si>
  <si>
    <t>2034-03</t>
  </si>
  <si>
    <t>2034-04</t>
  </si>
  <si>
    <t>2034-05</t>
  </si>
  <si>
    <t>2034-06</t>
  </si>
  <si>
    <t>2034-07</t>
  </si>
  <si>
    <t>2034-08</t>
  </si>
  <si>
    <t>2034-09</t>
  </si>
  <si>
    <t>2034-10</t>
  </si>
  <si>
    <t>2034-11</t>
  </si>
  <si>
    <t>2034-12</t>
  </si>
  <si>
    <t>2035-01</t>
  </si>
  <si>
    <t>2035-02</t>
  </si>
  <si>
    <t>2035-03</t>
  </si>
  <si>
    <t>2035-04</t>
  </si>
  <si>
    <t>2035-05</t>
  </si>
  <si>
    <t>2035-06</t>
  </si>
  <si>
    <t>2035-07</t>
  </si>
  <si>
    <t>2035-08</t>
  </si>
  <si>
    <t>2035-09</t>
  </si>
  <si>
    <t>2035-10</t>
  </si>
  <si>
    <t>2035-11</t>
  </si>
  <si>
    <t>2035-12</t>
  </si>
  <si>
    <t>Row Labels</t>
  </si>
  <si>
    <t>Grand Total</t>
  </si>
  <si>
    <t>year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</si>
  <si>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</si>
  <si>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</si>
  <si>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</si>
  <si>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</si>
  <si>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</si>
  <si>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</si>
  <si>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</si>
  <si>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</si>
  <si>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</si>
  <si>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</si>
  <si>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</si>
  <si>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Sum of flights_count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</si>
</sst>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rgi Marsol Ferrer" refreshedDate="46092.758229629631" createdVersion="8" refreshedVersion="8" minRefreshableVersion="3" recordCount="748" xr:uid="{015BC3B3-48F1-EA4A-8A81-495BDA61E0FC}">
  <cacheSource type="worksheet">
    <worksheetSource ref="A1:H749" sheet="vueling_historical_and_forecast"/>
  </cacheSource>
  <cacheFields count="8">
    <cacheField name="year" numFmtId="0">
      <sharedItems count="11">
        <s v="2025"/>
        <s v="2026"/>
        <s v="2027"/>
        <s v="2028"/>
        <s v="2029"/>
        <s v="2030"/>
        <s v="2031"/>
        <s v="2032"/>
        <s v="2033"/>
        <s v="2034"/>
        <s v="2035"/>
      </sharedItems>
    </cacheField>
    <cacheField name="year_month" numFmtId="0">
      <sharedItems/>
    </cacheField>
    <cacheField name="aircraft_type_icao" numFmtId="0">
      <sharedItems/>
    </cacheField>
    <cacheField name="flights_count" numFmtId="0">
      <sharedItems containsSemiMixedTypes="0" containsString="0" containsNumber="1" minValue="105.64" maxValue="22945.88"/>
    </cacheField>
    <cacheField name="LTO_CO2_sum" numFmtId="0">
      <sharedItems containsSemiMixedTypes="0" containsString="0" containsNumber="1" minValue="230858.82" maxValue="58992245.899999999"/>
    </cacheField>
    <cacheField name="CCD_CO2_sum" numFmtId="0">
      <sharedItems containsSemiMixedTypes="0" containsString="0" containsNumber="1" minValue="962183.85" maxValue="229614978.63"/>
    </cacheField>
    <cacheField name="Total_CO2_sum" numFmtId="0">
      <sharedItems containsSemiMixedTypes="0" containsString="0" containsNumber="1" minValue="1193042.75" maxValue="288607224.52999997"/>
    </cacheField>
    <cacheField name="origin" numFmtId="0">
      <sharedItems count="2">
        <s v="historical"/>
        <s v="foreca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8">
  <r>
    <x v="0"/>
    <s v="2025-02"/>
    <s v="A319"/>
    <n v="879"/>
    <n v="1907219.04"/>
    <n v="7189037.5999999996"/>
    <n v="9096256.6400000006"/>
    <x v="0"/>
  </r>
  <r>
    <x v="0"/>
    <s v="2025-02"/>
    <s v="A320"/>
    <n v="9564"/>
    <n v="24588374.52"/>
    <n v="92287951.230000004"/>
    <n v="116876325.75"/>
    <x v="0"/>
  </r>
  <r>
    <x v="0"/>
    <s v="2025-02"/>
    <s v="A320Neo"/>
    <n v="1181"/>
    <n v="2580827.48999999"/>
    <n v="10960397.699999999"/>
    <n v="13541225.810000001"/>
    <x v="0"/>
  </r>
  <r>
    <x v="0"/>
    <s v="2025-02"/>
    <s v="A321"/>
    <n v="2274"/>
    <n v="6719465.3399999999"/>
    <n v="28919129.27"/>
    <n v="35638594.609999999"/>
    <x v="0"/>
  </r>
  <r>
    <x v="0"/>
    <s v="2025-03"/>
    <s v="A319"/>
    <n v="1082"/>
    <n v="2347680.3199999998"/>
    <n v="8794940.8300000001"/>
    <n v="11142621.15"/>
    <x v="0"/>
  </r>
  <r>
    <x v="0"/>
    <s v="2025-03"/>
    <s v="A320"/>
    <n v="11644"/>
    <n v="29935908.919999901"/>
    <n v="114191227.84"/>
    <n v="144127136.75999999"/>
    <x v="0"/>
  </r>
  <r>
    <x v="0"/>
    <s v="2025-03"/>
    <s v="A320Neo"/>
    <n v="1705"/>
    <n v="3725919.4499999899"/>
    <n v="15430598.82"/>
    <n v="19156519.34"/>
    <x v="0"/>
  </r>
  <r>
    <x v="0"/>
    <s v="2025-03"/>
    <s v="A321"/>
    <n v="2862"/>
    <n v="8456952.4199999999"/>
    <n v="35549516"/>
    <n v="44006468.420000002"/>
    <x v="0"/>
  </r>
  <r>
    <x v="0"/>
    <s v="2025-04"/>
    <s v="A319"/>
    <n v="934"/>
    <n v="2026555.84"/>
    <n v="7925401.5199999996"/>
    <n v="9951957.3599999994"/>
    <x v="0"/>
  </r>
  <r>
    <x v="0"/>
    <s v="2025-04"/>
    <s v="A320"/>
    <n v="12659"/>
    <n v="32545402.8699999"/>
    <n v="126116824.69"/>
    <n v="158662227.56"/>
    <x v="0"/>
  </r>
  <r>
    <x v="0"/>
    <s v="2025-04"/>
    <s v="A320Neo"/>
    <n v="1915"/>
    <n v="4184830.35"/>
    <n v="16434306.6"/>
    <n v="20619137.98"/>
    <x v="0"/>
  </r>
  <r>
    <x v="0"/>
    <s v="2025-04"/>
    <s v="A321"/>
    <n v="2825"/>
    <n v="8347620.75"/>
    <n v="34563361.759999998"/>
    <n v="42910982.509999998"/>
    <x v="0"/>
  </r>
  <r>
    <x v="0"/>
    <s v="2025-05"/>
    <s v="A319"/>
    <n v="1032"/>
    <n v="2239192.3199999998"/>
    <n v="8768220.2999999896"/>
    <n v="11007412.619999999"/>
    <x v="0"/>
  </r>
  <r>
    <x v="0"/>
    <s v="2025-05"/>
    <s v="A320"/>
    <n v="13692"/>
    <n v="35201173.559999898"/>
    <n v="137120899.06999999"/>
    <n v="172322072.63"/>
    <x v="0"/>
  </r>
  <r>
    <x v="0"/>
    <s v="2025-05"/>
    <s v="A320Neo"/>
    <n v="1740"/>
    <n v="3802404.6"/>
    <n v="15858084.18"/>
    <n v="19660490.18"/>
    <x v="0"/>
  </r>
  <r>
    <x v="0"/>
    <s v="2025-05"/>
    <s v="A321"/>
    <n v="3223"/>
    <n v="9523674.9299999997"/>
    <n v="37928082.25"/>
    <n v="47451757.18"/>
    <x v="0"/>
  </r>
  <r>
    <x v="0"/>
    <s v="2025-05"/>
    <s v="A321Neo"/>
    <n v="148"/>
    <n v="371727.16"/>
    <n v="1607834.57"/>
    <n v="1979562.1"/>
    <x v="0"/>
  </r>
  <r>
    <x v="0"/>
    <s v="2025-06"/>
    <s v="A319"/>
    <n v="1018"/>
    <n v="2208815.6800000002"/>
    <n v="8609014.1799999997"/>
    <n v="10817829.859999999"/>
    <x v="0"/>
  </r>
  <r>
    <x v="0"/>
    <s v="2025-06"/>
    <s v="A320"/>
    <n v="14406"/>
    <n v="37036817.579999998"/>
    <n v="145839638.68000001"/>
    <n v="182876456.25999999"/>
    <x v="0"/>
  </r>
  <r>
    <x v="0"/>
    <s v="2025-06"/>
    <s v="A320Neo"/>
    <n v="1602"/>
    <n v="3500834.58"/>
    <n v="14568005.99"/>
    <n v="18068841.760000002"/>
    <x v="0"/>
  </r>
  <r>
    <x v="0"/>
    <s v="2025-06"/>
    <s v="A321"/>
    <n v="3007"/>
    <n v="8885414.3699999992"/>
    <n v="34996929.310000002"/>
    <n v="43882343.68"/>
    <x v="0"/>
  </r>
  <r>
    <x v="0"/>
    <s v="2025-06"/>
    <s v="A321Neo"/>
    <n v="263"/>
    <n v="660569.21"/>
    <n v="2436682.61"/>
    <n v="3097252.36"/>
    <x v="0"/>
  </r>
  <r>
    <x v="0"/>
    <s v="2025-07"/>
    <s v="A319"/>
    <n v="891"/>
    <n v="1933256.16"/>
    <n v="7833748.8099999996"/>
    <n v="9767004.9700000007"/>
    <x v="0"/>
  </r>
  <r>
    <x v="0"/>
    <s v="2025-07"/>
    <s v="A320"/>
    <n v="15506"/>
    <n v="39864840.579999998"/>
    <n v="156576560.25999999"/>
    <n v="196441400.84"/>
    <x v="0"/>
  </r>
  <r>
    <x v="0"/>
    <s v="2025-07"/>
    <s v="A320Neo"/>
    <n v="1825"/>
    <n v="3988154.25"/>
    <n v="16414974.460000001"/>
    <n v="20403130.140000001"/>
    <x v="0"/>
  </r>
  <r>
    <x v="0"/>
    <s v="2025-07"/>
    <s v="A321"/>
    <n v="3098"/>
    <n v="9154311.1799999997"/>
    <n v="37951681.210000001"/>
    <n v="47105992.390000001"/>
    <x v="0"/>
  </r>
  <r>
    <x v="0"/>
    <s v="2025-07"/>
    <s v="A321Neo"/>
    <n v="339"/>
    <n v="851456.13"/>
    <n v="3997529.19"/>
    <n v="4848985.91"/>
    <x v="0"/>
  </r>
  <r>
    <x v="0"/>
    <s v="2025-08"/>
    <s v="A319"/>
    <n v="1132"/>
    <n v="2456168.3199999998"/>
    <n v="9519911.4499999993"/>
    <n v="11976079.77"/>
    <x v="0"/>
  </r>
  <r>
    <x v="0"/>
    <s v="2025-08"/>
    <s v="A320"/>
    <n v="15731"/>
    <n v="40443299.829999998"/>
    <n v="159745333.5"/>
    <n v="200188633.33000001"/>
    <x v="0"/>
  </r>
  <r>
    <x v="0"/>
    <s v="2025-08"/>
    <s v="A320Neo"/>
    <n v="1640"/>
    <n v="3583875.6"/>
    <n v="14480867.43"/>
    <n v="18064744.57"/>
    <x v="0"/>
  </r>
  <r>
    <x v="0"/>
    <s v="2025-08"/>
    <s v="A321"/>
    <n v="3083"/>
    <n v="9109987.5299999993"/>
    <n v="37957042.189999998"/>
    <n v="47067029.719999999"/>
    <x v="0"/>
  </r>
  <r>
    <x v="0"/>
    <s v="2025-08"/>
    <s v="A321Neo"/>
    <n v="312"/>
    <n v="783641.04"/>
    <n v="3922350.58"/>
    <n v="4705992.29"/>
    <x v="0"/>
  </r>
  <r>
    <x v="0"/>
    <s v="2025-09"/>
    <s v="A319"/>
    <n v="1098"/>
    <n v="2382396.48"/>
    <n v="9361702.9100000001"/>
    <n v="11744099.390000001"/>
    <x v="0"/>
  </r>
  <r>
    <x v="0"/>
    <s v="2025-09"/>
    <s v="A320"/>
    <n v="14664"/>
    <n v="37700117.519999899"/>
    <n v="149199646.46000001"/>
    <n v="186899763.97999999"/>
    <x v="0"/>
  </r>
  <r>
    <x v="0"/>
    <s v="2025-09"/>
    <s v="A320Neo"/>
    <n v="1209"/>
    <n v="2642015.61"/>
    <n v="10975226.35"/>
    <n v="13617242.960000001"/>
    <x v="0"/>
  </r>
  <r>
    <x v="0"/>
    <s v="2025-09"/>
    <s v="A321"/>
    <n v="2861"/>
    <n v="8453997.5099999998"/>
    <n v="33692900.869999997"/>
    <n v="42146898.380000003"/>
    <x v="0"/>
  </r>
  <r>
    <x v="0"/>
    <s v="2025-09"/>
    <s v="A321Neo"/>
    <n v="301"/>
    <n v="756012.67"/>
    <n v="3968928.9"/>
    <n v="4724942.3899999997"/>
    <x v="0"/>
  </r>
  <r>
    <x v="0"/>
    <s v="2025-10"/>
    <s v="A319"/>
    <n v="1115"/>
    <n v="2419282.4"/>
    <n v="9329873.5099999998"/>
    <n v="11749155.91"/>
    <x v="0"/>
  </r>
  <r>
    <x v="0"/>
    <s v="2025-10"/>
    <s v="A320"/>
    <n v="14398"/>
    <n v="37016250.140000001"/>
    <n v="144112213.84"/>
    <n v="181128463.97999999"/>
    <x v="0"/>
  </r>
  <r>
    <x v="0"/>
    <s v="2025-10"/>
    <s v="A320Neo"/>
    <n v="932"/>
    <n v="2036690.28"/>
    <n v="8982202.8000000007"/>
    <n v="11018893.880000001"/>
    <x v="0"/>
  </r>
  <r>
    <x v="0"/>
    <s v="2025-10"/>
    <s v="A321"/>
    <n v="2753"/>
    <n v="8134867.2299999902"/>
    <n v="33340868.399999999"/>
    <n v="41475735.630000003"/>
    <x v="0"/>
  </r>
  <r>
    <x v="0"/>
    <s v="2025-10"/>
    <s v="A321Neo"/>
    <n v="329"/>
    <n v="826339.43"/>
    <n v="3933880.75"/>
    <n v="4760220.7"/>
    <x v="0"/>
  </r>
  <r>
    <x v="0"/>
    <s v="2025-11"/>
    <s v="A319"/>
    <n v="1012"/>
    <n v="2195797.12"/>
    <n v="8631838.2400000002"/>
    <n v="10827635.359999999"/>
    <x v="0"/>
  </r>
  <r>
    <x v="0"/>
    <s v="2025-11"/>
    <s v="A320"/>
    <n v="11702"/>
    <n v="30085022.859999999"/>
    <n v="115619777.09"/>
    <n v="145704799.94999999"/>
    <x v="0"/>
  </r>
  <r>
    <x v="0"/>
    <s v="2025-11"/>
    <s v="A320Neo"/>
    <n v="650"/>
    <n v="1420438.5"/>
    <n v="5740321.5599999996"/>
    <n v="7160760.7000000002"/>
    <x v="0"/>
  </r>
  <r>
    <x v="0"/>
    <s v="2025-11"/>
    <s v="A321"/>
    <n v="2285"/>
    <n v="6751969.3499999996"/>
    <n v="27411315.640000001"/>
    <n v="34163284.990000002"/>
    <x v="0"/>
  </r>
  <r>
    <x v="0"/>
    <s v="2025-11"/>
    <s v="A321Neo"/>
    <n v="258"/>
    <n v="648010.86"/>
    <n v="2894537.27"/>
    <n v="3542548.91"/>
    <x v="0"/>
  </r>
  <r>
    <x v="0"/>
    <s v="2025-12"/>
    <s v="A319"/>
    <n v="950"/>
    <n v="2061272"/>
    <n v="8063394.4199999999"/>
    <n v="10124666.42"/>
    <x v="0"/>
  </r>
  <r>
    <x v="0"/>
    <s v="2025-12"/>
    <s v="A320"/>
    <n v="12488"/>
    <n v="32105773.839999899"/>
    <n v="123885313.31"/>
    <n v="155991087.15000001"/>
    <x v="0"/>
  </r>
  <r>
    <x v="0"/>
    <s v="2025-12"/>
    <s v="A320Neo"/>
    <n v="552"/>
    <n v="1206280.08"/>
    <n v="5728774.1399999997"/>
    <n v="6935054.5800000001"/>
    <x v="0"/>
  </r>
  <r>
    <x v="0"/>
    <s v="2025-12"/>
    <s v="A321"/>
    <n v="2451"/>
    <n v="7242484.4099999899"/>
    <n v="30367939.5"/>
    <n v="37610423.909999996"/>
    <x v="0"/>
  </r>
  <r>
    <x v="0"/>
    <s v="2025-12"/>
    <s v="A321Neo"/>
    <n v="278"/>
    <n v="698244.26"/>
    <n v="2819876.77"/>
    <n v="3518121.58"/>
    <x v="0"/>
  </r>
  <r>
    <x v="1"/>
    <s v="2026-01"/>
    <s v="A319"/>
    <n v="918"/>
    <n v="1991839.68"/>
    <n v="8064828.8399999999"/>
    <n v="10056668.52"/>
    <x v="0"/>
  </r>
  <r>
    <x v="1"/>
    <s v="2026-01"/>
    <s v="A320"/>
    <n v="10459"/>
    <n v="26889356.8699999"/>
    <n v="105502768.27"/>
    <n v="132392125.14"/>
    <x v="0"/>
  </r>
  <r>
    <x v="1"/>
    <s v="2026-01"/>
    <s v="A320Neo"/>
    <n v="475"/>
    <n v="1038012.75"/>
    <n v="4925489.12"/>
    <n v="5963502.3600000003"/>
    <x v="0"/>
  </r>
  <r>
    <x v="1"/>
    <s v="2026-01"/>
    <s v="A321"/>
    <n v="2449"/>
    <n v="7236574.5899999999"/>
    <n v="27294287.559999999"/>
    <n v="34530862.149999999"/>
    <x v="0"/>
  </r>
  <r>
    <x v="1"/>
    <s v="2026-01"/>
    <s v="A321Neo"/>
    <n v="284"/>
    <n v="713314.28"/>
    <n v="2840170.82"/>
    <n v="3553485.43"/>
    <x v="0"/>
  </r>
  <r>
    <x v="1"/>
    <s v="2026-02"/>
    <s v="A319"/>
    <n v="793.16"/>
    <n v="1720956.73"/>
    <n v="6713767.1699999999"/>
    <n v="8434723.9000000004"/>
    <x v="1"/>
  </r>
  <r>
    <x v="1"/>
    <s v="2026-02"/>
    <s v="A320"/>
    <n v="10318.91"/>
    <n v="26529197.539999999"/>
    <n v="103259352.73"/>
    <n v="129788550.27"/>
    <x v="1"/>
  </r>
  <r>
    <x v="1"/>
    <s v="2026-02"/>
    <s v="A320Neo"/>
    <n v="1014.44"/>
    <n v="2216855.27"/>
    <n v="9239509.9900000002"/>
    <n v="11456366.02"/>
    <x v="1"/>
  </r>
  <r>
    <x v="1"/>
    <s v="2026-02"/>
    <s v="A321"/>
    <n v="2181.39"/>
    <n v="6445813.8300000001"/>
    <n v="26303023.309999999"/>
    <n v="32748837.149999999"/>
    <x v="1"/>
  </r>
  <r>
    <x v="1"/>
    <s v="2026-02"/>
    <s v="A321Neo"/>
    <n v="220.26"/>
    <n v="553217.47"/>
    <n v="2492098.0299999998"/>
    <n v="3045315.95"/>
    <x v="1"/>
  </r>
  <r>
    <x v="1"/>
    <s v="2026-03"/>
    <s v="A319"/>
    <n v="986.91"/>
    <n v="2141351.62"/>
    <n v="8353804.5499999998"/>
    <n v="10495156.17"/>
    <x v="1"/>
  </r>
  <r>
    <x v="1"/>
    <s v="2026-03"/>
    <s v="A320"/>
    <n v="12839.61"/>
    <n v="33009743.350000001"/>
    <n v="128483521.84999999"/>
    <n v="161493265.19999999"/>
    <x v="1"/>
  </r>
  <r>
    <x v="1"/>
    <s v="2026-03"/>
    <s v="A320Neo"/>
    <n v="1262.25"/>
    <n v="2758388.13"/>
    <n v="11496535.199999999"/>
    <n v="14254924.279999999"/>
    <x v="1"/>
  </r>
  <r>
    <x v="1"/>
    <s v="2026-03"/>
    <s v="A321"/>
    <n v="2714.26"/>
    <n v="8020395.6399999997"/>
    <n v="32728319.34"/>
    <n v="40748714.979999997"/>
    <x v="1"/>
  </r>
  <r>
    <x v="1"/>
    <s v="2026-03"/>
    <s v="A321Neo"/>
    <n v="274.06"/>
    <n v="688357.3"/>
    <n v="3100867.11"/>
    <n v="3789224.97"/>
    <x v="1"/>
  </r>
  <r>
    <x v="1"/>
    <s v="2026-04"/>
    <s v="A319"/>
    <n v="1046.26"/>
    <n v="2270132.38"/>
    <n v="8856201.8599999994"/>
    <n v="11126334.24"/>
    <x v="1"/>
  </r>
  <r>
    <x v="1"/>
    <s v="2026-04"/>
    <s v="A320"/>
    <n v="13611.79"/>
    <n v="34994947.369999997"/>
    <n v="136210513.28"/>
    <n v="171205460.65000001"/>
    <x v="1"/>
  </r>
  <r>
    <x v="1"/>
    <s v="2026-04"/>
    <s v="A320Neo"/>
    <n v="1338.16"/>
    <n v="2924277.43"/>
    <n v="12187936.15"/>
    <n v="15112214.58"/>
    <x v="1"/>
  </r>
  <r>
    <x v="1"/>
    <s v="2026-04"/>
    <s v="A321"/>
    <n v="2877.5"/>
    <n v="8502741.7599999998"/>
    <n v="34696598.530000001"/>
    <n v="43199340.289999999"/>
    <x v="1"/>
  </r>
  <r>
    <x v="1"/>
    <s v="2026-04"/>
    <s v="A321Neo"/>
    <n v="290.55"/>
    <n v="729755.06"/>
    <n v="3287353.08"/>
    <n v="4017108.74"/>
    <x v="1"/>
  </r>
  <r>
    <x v="1"/>
    <s v="2026-05"/>
    <s v="A319"/>
    <n v="1131.98"/>
    <n v="2456121.5099999998"/>
    <n v="9581779.5199999996"/>
    <n v="12037901.039999999"/>
    <x v="1"/>
  </r>
  <r>
    <x v="1"/>
    <s v="2026-05"/>
    <s v="A320"/>
    <n v="14726.98"/>
    <n v="37862040.100000001"/>
    <n v="147370072.05000001"/>
    <n v="185232112.15000001"/>
    <x v="1"/>
  </r>
  <r>
    <x v="1"/>
    <s v="2026-05"/>
    <s v="A320Neo"/>
    <n v="1447.8"/>
    <n v="3163859.86"/>
    <n v="13186478.67"/>
    <n v="16350339.619999999"/>
    <x v="1"/>
  </r>
  <r>
    <x v="1"/>
    <s v="2026-05"/>
    <s v="A321"/>
    <n v="3113.25"/>
    <n v="9199360.8699999992"/>
    <n v="37539247.909999996"/>
    <n v="46738608.780000001"/>
    <x v="1"/>
  </r>
  <r>
    <x v="1"/>
    <s v="2026-05"/>
    <s v="A321Neo"/>
    <n v="314.35000000000002"/>
    <n v="789542.99"/>
    <n v="3556681.85"/>
    <n v="4346225.49"/>
    <x v="1"/>
  </r>
  <r>
    <x v="1"/>
    <s v="2026-06"/>
    <s v="A319"/>
    <n v="1158.29"/>
    <n v="2513206.06"/>
    <n v="9804476.7899999991"/>
    <n v="12317682.85"/>
    <x v="1"/>
  </r>
  <r>
    <x v="1"/>
    <s v="2026-06"/>
    <s v="A320"/>
    <n v="15069.26"/>
    <n v="38742019.960000001"/>
    <n v="150795209.59"/>
    <n v="189537229.55000001"/>
    <x v="1"/>
  </r>
  <r>
    <x v="1"/>
    <s v="2026-06"/>
    <s v="A320Neo"/>
    <n v="1481.45"/>
    <n v="3237393.48"/>
    <n v="13492955.439999999"/>
    <n v="16730350.029999999"/>
    <x v="1"/>
  </r>
  <r>
    <x v="1"/>
    <s v="2026-06"/>
    <s v="A321"/>
    <n v="3185.6"/>
    <n v="9413170.0600000005"/>
    <n v="38411725.509999998"/>
    <n v="47824895.57"/>
    <x v="1"/>
  </r>
  <r>
    <x v="1"/>
    <s v="2026-06"/>
    <s v="A321Neo"/>
    <n v="321.66000000000003"/>
    <n v="807893.35"/>
    <n v="3639345.34"/>
    <n v="4447239.3499999996"/>
    <x v="1"/>
  </r>
  <r>
    <x v="1"/>
    <s v="2026-07"/>
    <s v="A319"/>
    <n v="1236.07"/>
    <n v="2681983.16"/>
    <n v="10462907.119999999"/>
    <n v="13144890.27"/>
    <x v="1"/>
  </r>
  <r>
    <x v="1"/>
    <s v="2026-07"/>
    <s v="A320"/>
    <n v="16081.26"/>
    <n v="41343782.530000001"/>
    <n v="160922026.24000001"/>
    <n v="202265808.77000001"/>
    <x v="1"/>
  </r>
  <r>
    <x v="1"/>
    <s v="2026-07"/>
    <s v="A320Neo"/>
    <n v="1580.94"/>
    <n v="3454804.17"/>
    <n v="14399089.57"/>
    <n v="17853894.920000002"/>
    <x v="1"/>
  </r>
  <r>
    <x v="1"/>
    <s v="2026-07"/>
    <s v="A321"/>
    <n v="3399.54"/>
    <n v="10045321.75"/>
    <n v="40991306.799999997"/>
    <n v="51036628.560000002"/>
    <x v="1"/>
  </r>
  <r>
    <x v="1"/>
    <s v="2026-07"/>
    <s v="A321Neo"/>
    <n v="343.26"/>
    <n v="862148.31"/>
    <n v="3883749.54"/>
    <n v="4745898.5599999996"/>
    <x v="1"/>
  </r>
  <r>
    <x v="1"/>
    <s v="2026-08"/>
    <s v="A319"/>
    <n v="1249.71"/>
    <n v="2711577.96"/>
    <n v="10578361.880000001"/>
    <n v="13289939.85"/>
    <x v="1"/>
  </r>
  <r>
    <x v="1"/>
    <s v="2026-08"/>
    <s v="A320"/>
    <n v="16258.71"/>
    <n v="41799997.68"/>
    <n v="162697748.31"/>
    <n v="204497745.99000001"/>
    <x v="1"/>
  </r>
  <r>
    <x v="1"/>
    <s v="2026-08"/>
    <s v="A320Neo"/>
    <n v="1598.38"/>
    <n v="3492926.81"/>
    <n v="14557978.82"/>
    <n v="18050906.829999998"/>
    <x v="1"/>
  </r>
  <r>
    <x v="1"/>
    <s v="2026-08"/>
    <s v="A321"/>
    <n v="3437.05"/>
    <n v="10156168.6"/>
    <n v="41443632.5"/>
    <n v="51599801.109999999"/>
    <x v="1"/>
  </r>
  <r>
    <x v="1"/>
    <s v="2026-08"/>
    <s v="A321Neo"/>
    <n v="347.04"/>
    <n v="871661.83"/>
    <n v="3926605.45"/>
    <n v="4798268"/>
    <x v="1"/>
  </r>
  <r>
    <x v="1"/>
    <s v="2026-09"/>
    <s v="A319"/>
    <n v="1148.99"/>
    <n v="2493022.16"/>
    <n v="9725735.6699999999"/>
    <n v="12218757.83"/>
    <x v="1"/>
  </r>
  <r>
    <x v="1"/>
    <s v="2026-09"/>
    <s v="A320"/>
    <n v="14948.24"/>
    <n v="38430877.399999999"/>
    <n v="149584152.28"/>
    <n v="188015029.69"/>
    <x v="1"/>
  </r>
  <r>
    <x v="1"/>
    <s v="2026-09"/>
    <s v="A320Neo"/>
    <n v="1469.55"/>
    <n v="3211393.53"/>
    <n v="13384591.640000001"/>
    <n v="16595986.26"/>
    <x v="1"/>
  </r>
  <r>
    <x v="1"/>
    <s v="2026-09"/>
    <s v="A321"/>
    <n v="3160.02"/>
    <n v="9337571.5800000001"/>
    <n v="38103235.600000001"/>
    <n v="47440807.18"/>
    <x v="1"/>
  </r>
  <r>
    <x v="1"/>
    <s v="2026-09"/>
    <s v="A321Neo"/>
    <n v="319.07"/>
    <n v="801405.04"/>
    <n v="3610117.25"/>
    <n v="4411522.95"/>
    <x v="1"/>
  </r>
  <r>
    <x v="1"/>
    <s v="2026-10"/>
    <s v="A319"/>
    <n v="1114.4000000000001"/>
    <n v="2417982.6"/>
    <n v="9432992.6199999992"/>
    <n v="11850975.220000001"/>
    <x v="1"/>
  </r>
  <r>
    <x v="1"/>
    <s v="2026-10"/>
    <s v="A320"/>
    <n v="14498.3"/>
    <n v="37274114.289999999"/>
    <n v="145081693.81999999"/>
    <n v="182355808.11000001"/>
    <x v="1"/>
  </r>
  <r>
    <x v="1"/>
    <s v="2026-10"/>
    <s v="A320Neo"/>
    <n v="1425.32"/>
    <n v="3114731.11"/>
    <n v="12981717.619999999"/>
    <n v="16096449.800000001"/>
    <x v="1"/>
  </r>
  <r>
    <x v="1"/>
    <s v="2026-10"/>
    <s v="A321"/>
    <n v="3064.9"/>
    <n v="9056512.2100000009"/>
    <n v="36956334.460000001"/>
    <n v="46012846.659999996"/>
    <x v="1"/>
  </r>
  <r>
    <x v="1"/>
    <s v="2026-10"/>
    <s v="A321Neo"/>
    <n v="309.47000000000003"/>
    <n v="777282.88"/>
    <n v="3501453.31"/>
    <n v="4278736.83"/>
    <x v="1"/>
  </r>
  <r>
    <x v="1"/>
    <s v="2026-11"/>
    <s v="A319"/>
    <n v="907.81"/>
    <n v="1969726.49"/>
    <n v="7684263.5199999996"/>
    <n v="9653990.0099999998"/>
    <x v="1"/>
  </r>
  <r>
    <x v="1"/>
    <s v="2026-11"/>
    <s v="A320"/>
    <n v="11810.54"/>
    <n v="30364077.23"/>
    <n v="118185819.81999999"/>
    <n v="148549897.05000001"/>
    <x v="1"/>
  </r>
  <r>
    <x v="1"/>
    <s v="2026-11"/>
    <s v="A320Neo"/>
    <n v="1161.0899999999999"/>
    <n v="2537308.7400000002"/>
    <n v="10575110.470000001"/>
    <n v="13112420.08"/>
    <x v="1"/>
  </r>
  <r>
    <x v="1"/>
    <s v="2026-11"/>
    <s v="A321"/>
    <n v="2496.7199999999998"/>
    <n v="7377576.6699999999"/>
    <n v="30105208.800000001"/>
    <n v="37482785.469999999"/>
    <x v="1"/>
  </r>
  <r>
    <x v="1"/>
    <s v="2026-11"/>
    <s v="A321Neo"/>
    <n v="252.1"/>
    <n v="633186.81000000006"/>
    <n v="2852338.7"/>
    <n v="3485526.03"/>
    <x v="1"/>
  </r>
  <r>
    <x v="1"/>
    <s v="2026-12"/>
    <s v="A319"/>
    <n v="954.15"/>
    <n v="2070274.55"/>
    <n v="8076519.8799999999"/>
    <n v="10146794.42"/>
    <x v="1"/>
  </r>
  <r>
    <x v="1"/>
    <s v="2026-12"/>
    <s v="A320"/>
    <n v="12413.43"/>
    <n v="31914063.440000001"/>
    <n v="124218816.97"/>
    <n v="156132880.41"/>
    <x v="1"/>
  </r>
  <r>
    <x v="1"/>
    <s v="2026-12"/>
    <s v="A320Neo"/>
    <n v="1220.3599999999999"/>
    <n v="2666830"/>
    <n v="11114935.060000001"/>
    <n v="13781765.970000001"/>
    <x v="1"/>
  </r>
  <r>
    <x v="1"/>
    <s v="2026-12"/>
    <s v="A321"/>
    <n v="2624.17"/>
    <n v="7754177.6799999997"/>
    <n v="31641980.629999999"/>
    <n v="39396158.310000002"/>
    <x v="1"/>
  </r>
  <r>
    <x v="1"/>
    <s v="2026-12"/>
    <s v="A321Neo"/>
    <n v="264.97000000000003"/>
    <n v="665508.91"/>
    <n v="2997941.21"/>
    <n v="3663450.66"/>
    <x v="1"/>
  </r>
  <r>
    <x v="2"/>
    <s v="2027-01"/>
    <s v="A319"/>
    <n v="866.81"/>
    <n v="1880759.24"/>
    <n v="7337185.9900000002"/>
    <n v="9217945.2300000004"/>
    <x v="1"/>
  </r>
  <r>
    <x v="2"/>
    <s v="2027-01"/>
    <s v="A320"/>
    <n v="11277.09"/>
    <n v="28992613.48"/>
    <n v="112847684.01000001"/>
    <n v="141840297.47999999"/>
    <x v="1"/>
  </r>
  <r>
    <x v="2"/>
    <s v="2027-01"/>
    <s v="A320Neo"/>
    <n v="1108.6400000000001"/>
    <n v="2422705.3199999998"/>
    <n v="10097461.16"/>
    <n v="12520167.310000001"/>
    <x v="1"/>
  </r>
  <r>
    <x v="2"/>
    <s v="2027-01"/>
    <s v="A321"/>
    <n v="2383.9499999999998"/>
    <n v="7044351.3600000003"/>
    <n v="28745437.440000001"/>
    <n v="35789788.799999997"/>
    <x v="1"/>
  </r>
  <r>
    <x v="2"/>
    <s v="2027-01"/>
    <s v="A321Neo"/>
    <n v="240.71"/>
    <n v="604587.46"/>
    <n v="2723506.23"/>
    <n v="3328094.19"/>
    <x v="1"/>
  </r>
  <r>
    <x v="2"/>
    <s v="2027-01"/>
    <s v="B38M"/>
    <n v="110.86"/>
    <n v="242270.53"/>
    <n v="1009746.12"/>
    <n v="1252016.73"/>
    <x v="1"/>
  </r>
  <r>
    <x v="2"/>
    <s v="2027-02"/>
    <s v="A319"/>
    <n v="825.98"/>
    <n v="1792169.48"/>
    <n v="6991581.1299999999"/>
    <n v="8783750.6199999992"/>
    <x v="1"/>
  </r>
  <r>
    <x v="2"/>
    <s v="2027-02"/>
    <s v="A320"/>
    <n v="10745.9"/>
    <n v="27626968.949999999"/>
    <n v="107532198.31"/>
    <n v="135159167.25"/>
    <x v="1"/>
  </r>
  <r>
    <x v="2"/>
    <s v="2027-02"/>
    <s v="A320Neo"/>
    <n v="1056.42"/>
    <n v="2308588.1800000002"/>
    <n v="9621838.5399999991"/>
    <n v="11930427.51"/>
    <x v="1"/>
  </r>
  <r>
    <x v="2"/>
    <s v="2027-02"/>
    <s v="A321"/>
    <n v="2271.66"/>
    <n v="6712539.96"/>
    <n v="27391435.690000001"/>
    <n v="34103975.640000001"/>
    <x v="1"/>
  </r>
  <r>
    <x v="2"/>
    <s v="2027-02"/>
    <s v="A321Neo"/>
    <n v="229.37"/>
    <n v="576109.47"/>
    <n v="2595220.4"/>
    <n v="3171330.34"/>
    <x v="1"/>
  </r>
  <r>
    <x v="2"/>
    <s v="2027-02"/>
    <s v="B38M"/>
    <n v="105.64"/>
    <n v="230858.82"/>
    <n v="962183.85"/>
    <n v="1193042.75"/>
    <x v="1"/>
  </r>
  <r>
    <x v="2"/>
    <s v="2027-03"/>
    <s v="A319"/>
    <n v="1027.75"/>
    <n v="2229960.2000000002"/>
    <n v="8699482.8399999999"/>
    <n v="10929443.039999999"/>
    <x v="1"/>
  </r>
  <r>
    <x v="2"/>
    <s v="2027-03"/>
    <s v="A320"/>
    <n v="13370.91"/>
    <n v="34375678.079999998"/>
    <n v="133800137.09"/>
    <n v="168175815.18000001"/>
    <x v="1"/>
  </r>
  <r>
    <x v="2"/>
    <s v="2027-03"/>
    <s v="A320Neo"/>
    <n v="1314.48"/>
    <n v="2872529.53"/>
    <n v="11972258.880000001"/>
    <n v="14844789.390000001"/>
    <x v="1"/>
  </r>
  <r>
    <x v="2"/>
    <s v="2027-03"/>
    <s v="A321"/>
    <n v="2826.58"/>
    <n v="8352277.5599999996"/>
    <n v="34082608.82"/>
    <n v="42434886.369999997"/>
    <x v="1"/>
  </r>
  <r>
    <x v="2"/>
    <s v="2027-03"/>
    <s v="A321Neo"/>
    <n v="285.39999999999998"/>
    <n v="716841.34"/>
    <n v="3229180.2"/>
    <n v="3946022.13"/>
    <x v="1"/>
  </r>
  <r>
    <x v="2"/>
    <s v="2027-03"/>
    <s v="B38M"/>
    <n v="131.44999999999999"/>
    <n v="287252.95"/>
    <n v="1197225.8899999999"/>
    <n v="1484478.94"/>
    <x v="1"/>
  </r>
  <r>
    <x v="2"/>
    <s v="2027-04"/>
    <s v="A319"/>
    <n v="1089.55"/>
    <n v="2364069.88"/>
    <n v="9222669.2300000004"/>
    <n v="11586739.1"/>
    <x v="1"/>
  </r>
  <r>
    <x v="2"/>
    <s v="2027-04"/>
    <s v="A320"/>
    <n v="14175.04"/>
    <n v="36443029.329999998"/>
    <n v="141846869.44999999"/>
    <n v="178289898.78"/>
    <x v="1"/>
  </r>
  <r>
    <x v="2"/>
    <s v="2027-04"/>
    <s v="A320Neo"/>
    <n v="1393.54"/>
    <n v="3045283.28"/>
    <n v="12692269.82"/>
    <n v="15737554.15"/>
    <x v="1"/>
  </r>
  <r>
    <x v="2"/>
    <s v="2027-04"/>
    <s v="A321"/>
    <n v="2996.57"/>
    <n v="8854583.0399999991"/>
    <n v="36132334.899999999"/>
    <n v="44986917.93"/>
    <x v="1"/>
  </r>
  <r>
    <x v="2"/>
    <s v="2027-04"/>
    <s v="A321Neo"/>
    <n v="302.57"/>
    <n v="759952.14"/>
    <n v="3423382.91"/>
    <n v="4183335.67"/>
    <x v="1"/>
  </r>
  <r>
    <x v="2"/>
    <s v="2027-04"/>
    <s v="B38M"/>
    <n v="139.35"/>
    <n v="304528.33"/>
    <n v="1269226.98"/>
    <n v="1573755.42"/>
    <x v="1"/>
  </r>
  <r>
    <x v="2"/>
    <s v="2027-05"/>
    <s v="A319"/>
    <n v="1178.82"/>
    <n v="2557755.19"/>
    <n v="9978271.0999999996"/>
    <n v="12536026.300000001"/>
    <x v="1"/>
  </r>
  <r>
    <x v="2"/>
    <s v="2027-05"/>
    <s v="A320"/>
    <n v="15336.38"/>
    <n v="39428761.619999997"/>
    <n v="153468207.90000001"/>
    <n v="192896969.53"/>
    <x v="1"/>
  </r>
  <r>
    <x v="2"/>
    <s v="2027-05"/>
    <s v="A320Neo"/>
    <n v="1507.71"/>
    <n v="3294779.57"/>
    <n v="13732131.779999999"/>
    <n v="17026912.489999998"/>
    <x v="1"/>
  </r>
  <r>
    <x v="2"/>
    <s v="2027-05"/>
    <s v="A321"/>
    <n v="3242.07"/>
    <n v="9580028.0600000005"/>
    <n v="39092612.380000003"/>
    <n v="48672640.439999998"/>
    <x v="1"/>
  </r>
  <r>
    <x v="2"/>
    <s v="2027-05"/>
    <s v="A321Neo"/>
    <n v="327.36"/>
    <n v="822214.08"/>
    <n v="3703856.43"/>
    <n v="4526071.1900000004"/>
    <x v="1"/>
  </r>
  <r>
    <x v="2"/>
    <s v="2027-05"/>
    <s v="B38M"/>
    <n v="150.77000000000001"/>
    <n v="329477.96000000002"/>
    <n v="1373213.18"/>
    <n v="1702691.25"/>
    <x v="1"/>
  </r>
  <r>
    <x v="2"/>
    <s v="2027-06"/>
    <s v="A319"/>
    <n v="1206.22"/>
    <n v="2617201.89"/>
    <n v="10210183.529999999"/>
    <n v="12827385.42"/>
    <x v="1"/>
  </r>
  <r>
    <x v="2"/>
    <s v="2027-06"/>
    <s v="A320"/>
    <n v="15692.83"/>
    <n v="40345154.82"/>
    <n v="157035076.75999999"/>
    <n v="197380231.58000001"/>
    <x v="1"/>
  </r>
  <r>
    <x v="2"/>
    <s v="2027-06"/>
    <s v="A320Neo"/>
    <n v="1542.75"/>
    <n v="3371356"/>
    <n v="14051290.48"/>
    <n v="17422647.629999999"/>
    <x v="1"/>
  </r>
  <r>
    <x v="2"/>
    <s v="2027-06"/>
    <s v="A321"/>
    <n v="3317.42"/>
    <n v="9802684.6300000008"/>
    <n v="40001192.880000003"/>
    <n v="49803877.509999998"/>
    <x v="1"/>
  </r>
  <r>
    <x v="2"/>
    <s v="2027-06"/>
    <s v="A321Neo"/>
    <n v="334.97"/>
    <n v="841323.77"/>
    <n v="3789940.52"/>
    <n v="4631264.9800000004"/>
    <x v="1"/>
  </r>
  <r>
    <x v="2"/>
    <s v="2027-06"/>
    <s v="B38M"/>
    <n v="154.27000000000001"/>
    <n v="337135.6"/>
    <n v="1405129.05"/>
    <n v="1742264.76"/>
    <x v="1"/>
  </r>
  <r>
    <x v="2"/>
    <s v="2027-07"/>
    <s v="A319"/>
    <n v="1287.22"/>
    <n v="2792962.93"/>
    <n v="10895859.529999999"/>
    <n v="13688822.460000001"/>
    <x v="1"/>
  </r>
  <r>
    <x v="2"/>
    <s v="2027-07"/>
    <s v="A320"/>
    <n v="16746.689999999999"/>
    <n v="43054577.670000002"/>
    <n v="167580938.49000001"/>
    <n v="210635516.16"/>
    <x v="1"/>
  </r>
  <r>
    <x v="2"/>
    <s v="2027-07"/>
    <s v="A320Neo"/>
    <n v="1646.35"/>
    <n v="3597763.08"/>
    <n v="14994920.210000001"/>
    <n v="18592684.52"/>
    <x v="1"/>
  </r>
  <r>
    <x v="2"/>
    <s v="2027-07"/>
    <s v="A321"/>
    <n v="3540.21"/>
    <n v="10460994.6"/>
    <n v="42687516.590000004"/>
    <n v="53148511.18"/>
    <x v="1"/>
  </r>
  <r>
    <x v="2"/>
    <s v="2027-07"/>
    <s v="A321Neo"/>
    <n v="357.46"/>
    <n v="897823.78"/>
    <n v="4044458.1"/>
    <n v="4942282.62"/>
    <x v="1"/>
  </r>
  <r>
    <x v="2"/>
    <s v="2027-07"/>
    <s v="B38M"/>
    <n v="164.64"/>
    <n v="359776.31"/>
    <n v="1499492.02"/>
    <n v="1859268.45"/>
    <x v="1"/>
  </r>
  <r>
    <x v="2"/>
    <s v="2027-08"/>
    <s v="A319"/>
    <n v="1301.43"/>
    <n v="2823782.37"/>
    <n v="11016091.789999999"/>
    <n v="13839874.16"/>
    <x v="1"/>
  </r>
  <r>
    <x v="2"/>
    <s v="2027-08"/>
    <s v="A320"/>
    <n v="16931.490000000002"/>
    <n v="43529670.890000001"/>
    <n v="169430139.47999999"/>
    <n v="212959810.37"/>
    <x v="1"/>
  </r>
  <r>
    <x v="2"/>
    <s v="2027-08"/>
    <s v="A320Neo"/>
    <n v="1664.52"/>
    <n v="3637463.23"/>
    <n v="15160384.26"/>
    <n v="18797848.73"/>
    <x v="1"/>
  </r>
  <r>
    <x v="2"/>
    <s v="2027-08"/>
    <s v="A321"/>
    <n v="3579.27"/>
    <n v="10576428.26"/>
    <n v="43158559.409999996"/>
    <n v="53734987.670000002"/>
    <x v="1"/>
  </r>
  <r>
    <x v="2"/>
    <s v="2027-08"/>
    <s v="A321Neo"/>
    <n v="361.41"/>
    <n v="907730.98"/>
    <n v="4089087.38"/>
    <n v="4996819.0999999996"/>
    <x v="1"/>
  </r>
  <r>
    <x v="2"/>
    <s v="2027-08"/>
    <s v="B38M"/>
    <n v="166.45"/>
    <n v="363746.32"/>
    <n v="1516038.43"/>
    <n v="1879784.87"/>
    <x v="1"/>
  </r>
  <r>
    <x v="2"/>
    <s v="2027-09"/>
    <s v="A319"/>
    <n v="1196.53"/>
    <n v="2596182.77"/>
    <n v="10128184.130000001"/>
    <n v="12724366.9"/>
    <x v="1"/>
  </r>
  <r>
    <x v="2"/>
    <s v="2027-09"/>
    <s v="A320"/>
    <n v="15566.79"/>
    <n v="40021137.270000003"/>
    <n v="155773906.21000001"/>
    <n v="195795043.47999999"/>
    <x v="1"/>
  </r>
  <r>
    <x v="2"/>
    <s v="2027-09"/>
    <s v="A320Neo"/>
    <n v="1530.36"/>
    <n v="3344280.17"/>
    <n v="13938442.609999999"/>
    <n v="17282723.93"/>
    <x v="1"/>
  </r>
  <r>
    <x v="2"/>
    <s v="2027-09"/>
    <s v="A321"/>
    <n v="3290.78"/>
    <n v="9723957.9000000004"/>
    <n v="39679937.740000002"/>
    <n v="49403895.640000001"/>
    <x v="1"/>
  </r>
  <r>
    <x v="2"/>
    <s v="2027-09"/>
    <s v="A321Neo"/>
    <n v="332.28"/>
    <n v="834566.98"/>
    <n v="3759502.98"/>
    <n v="4594070.6399999997"/>
    <x v="1"/>
  </r>
  <r>
    <x v="2"/>
    <s v="2027-09"/>
    <s v="B38M"/>
    <n v="153.04"/>
    <n v="334428.02"/>
    <n v="1393844.26"/>
    <n v="1728272.39"/>
    <x v="1"/>
  </r>
  <r>
    <x v="2"/>
    <s v="2027-10"/>
    <s v="A319"/>
    <n v="1160.51"/>
    <n v="2518038.1"/>
    <n v="9823327.4399999995"/>
    <n v="12341365.539999999"/>
    <x v="1"/>
  </r>
  <r>
    <x v="2"/>
    <s v="2027-10"/>
    <s v="A320"/>
    <n v="15098.24"/>
    <n v="38816507.600000001"/>
    <n v="151085137.16999999"/>
    <n v="189901644.77000001"/>
    <x v="1"/>
  </r>
  <r>
    <x v="2"/>
    <s v="2027-10"/>
    <s v="A320Neo"/>
    <n v="1484.3"/>
    <n v="3243617.88"/>
    <n v="13518897.77"/>
    <n v="16762516.77"/>
    <x v="1"/>
  </r>
  <r>
    <x v="2"/>
    <s v="2027-10"/>
    <s v="A321"/>
    <n v="3191.73"/>
    <n v="9431268.3599999994"/>
    <n v="38485578.109999999"/>
    <n v="47916846.479999997"/>
    <x v="1"/>
  </r>
  <r>
    <x v="2"/>
    <s v="2027-10"/>
    <s v="A321Neo"/>
    <n v="322.27"/>
    <n v="809446.65"/>
    <n v="3646342.55"/>
    <n v="4455789.87"/>
    <x v="1"/>
  </r>
  <r>
    <x v="2"/>
    <s v="2027-10"/>
    <s v="B38M"/>
    <n v="148.43"/>
    <n v="324361.78999999998"/>
    <n v="1351889.78"/>
    <n v="1676251.68"/>
    <x v="1"/>
  </r>
  <r>
    <x v="2"/>
    <s v="2027-11"/>
    <s v="A319"/>
    <n v="945.37"/>
    <n v="2051233.27"/>
    <n v="8002236.3700000001"/>
    <n v="10053469.640000001"/>
    <x v="1"/>
  </r>
  <r>
    <x v="2"/>
    <s v="2027-11"/>
    <s v="A320"/>
    <n v="12299.26"/>
    <n v="31620534.969999999"/>
    <n v="123076318.78"/>
    <n v="154696853.75999999"/>
    <x v="1"/>
  </r>
  <r>
    <x v="2"/>
    <s v="2027-11"/>
    <s v="A320Neo"/>
    <n v="1209.1300000000001"/>
    <n v="2642301.92"/>
    <n v="11012705.84"/>
    <n v="13655008.67"/>
    <x v="1"/>
  </r>
  <r>
    <x v="2"/>
    <s v="2027-11"/>
    <s v="A321"/>
    <n v="2600.0300000000002"/>
    <n v="7682858.9100000001"/>
    <n v="31350954.629999999"/>
    <n v="39033813.539999999"/>
    <x v="1"/>
  </r>
  <r>
    <x v="2"/>
    <s v="2027-11"/>
    <s v="A321Neo"/>
    <n v="262.52999999999997"/>
    <n v="659387.92000000004"/>
    <n v="2970367.75"/>
    <n v="3629756.21"/>
    <x v="1"/>
  </r>
  <r>
    <x v="2"/>
    <s v="2027-11"/>
    <s v="B38M"/>
    <n v="120.91"/>
    <n v="264230.19"/>
    <n v="1101270.58"/>
    <n v="1365500.87"/>
    <x v="1"/>
  </r>
  <r>
    <x v="2"/>
    <s v="2027-12"/>
    <s v="A319"/>
    <n v="993.63"/>
    <n v="2155941.98"/>
    <n v="8410724.1999999993"/>
    <n v="10566666.18"/>
    <x v="1"/>
  </r>
  <r>
    <x v="2"/>
    <s v="2027-12"/>
    <s v="A320"/>
    <n v="12927.1"/>
    <n v="33234659.219999999"/>
    <n v="129358959.81"/>
    <n v="162593619.03"/>
    <x v="1"/>
  </r>
  <r>
    <x v="2"/>
    <s v="2027-12"/>
    <s v="A320Neo"/>
    <n v="1270.8499999999999"/>
    <n v="2777182.74"/>
    <n v="11574868.23"/>
    <n v="14352051.92"/>
    <x v="1"/>
  </r>
  <r>
    <x v="2"/>
    <s v="2027-12"/>
    <s v="A321"/>
    <n v="2732.75"/>
    <n v="8075043.5700000003"/>
    <n v="32951317.690000001"/>
    <n v="41026361.259999998"/>
    <x v="1"/>
  </r>
  <r>
    <x v="2"/>
    <s v="2027-12"/>
    <s v="A321Neo"/>
    <n v="275.93"/>
    <n v="693047.5"/>
    <n v="3121995.25"/>
    <n v="3815043.32"/>
    <x v="1"/>
  </r>
  <r>
    <x v="2"/>
    <s v="2027-12"/>
    <s v="B38M"/>
    <n v="127.09"/>
    <n v="277718.27"/>
    <n v="1157486.82"/>
    <n v="1435205.19"/>
    <x v="1"/>
  </r>
  <r>
    <x v="3"/>
    <s v="2028-01"/>
    <s v="A319"/>
    <n v="902.67"/>
    <n v="1958584.58"/>
    <n v="7640796.8600000003"/>
    <n v="9599381.4399999995"/>
    <x v="1"/>
  </r>
  <r>
    <x v="3"/>
    <s v="2028-01"/>
    <s v="A320"/>
    <n v="11743.73"/>
    <n v="30192320.399999999"/>
    <n v="117517292.28"/>
    <n v="147709612.68000001"/>
    <x v="1"/>
  </r>
  <r>
    <x v="3"/>
    <s v="2028-01"/>
    <s v="A320Neo"/>
    <n v="1154.52"/>
    <n v="2522956.25"/>
    <n v="10515291.51"/>
    <n v="13038248.630000001"/>
    <x v="1"/>
  </r>
  <r>
    <x v="3"/>
    <s v="2028-01"/>
    <s v="A321"/>
    <n v="2482.6"/>
    <n v="7335844.8200000003"/>
    <n v="29934916.280000001"/>
    <n v="37270761.100000001"/>
    <x v="1"/>
  </r>
  <r>
    <x v="3"/>
    <s v="2028-01"/>
    <s v="A321Neo"/>
    <n v="250.67"/>
    <n v="629605.14"/>
    <n v="2836204.22"/>
    <n v="3465809.87"/>
    <x v="1"/>
  </r>
  <r>
    <x v="3"/>
    <s v="2028-01"/>
    <s v="B38M"/>
    <n v="230.9"/>
    <n v="504591.25"/>
    <n v="2103058.2999999998"/>
    <n v="2607649.73"/>
    <x v="1"/>
  </r>
  <r>
    <x v="3"/>
    <s v="2028-02"/>
    <s v="A319"/>
    <n v="860.15"/>
    <n v="1866329"/>
    <n v="7280890.9699999997"/>
    <n v="9147219.9700000007"/>
    <x v="1"/>
  </r>
  <r>
    <x v="3"/>
    <s v="2028-02"/>
    <s v="A320"/>
    <n v="11190.57"/>
    <n v="28770165.850000001"/>
    <n v="111981853.14"/>
    <n v="140752018.99000001"/>
    <x v="1"/>
  </r>
  <r>
    <x v="3"/>
    <s v="2028-02"/>
    <s v="A320Neo"/>
    <n v="1100.1400000000001"/>
    <n v="2404116.96"/>
    <n v="10019987.76"/>
    <n v="12424105.550000001"/>
    <x v="1"/>
  </r>
  <r>
    <x v="3"/>
    <s v="2028-02"/>
    <s v="A321"/>
    <n v="2365.66"/>
    <n v="6990303.1399999997"/>
    <n v="28524886.280000001"/>
    <n v="35515189.420000002"/>
    <x v="1"/>
  </r>
  <r>
    <x v="3"/>
    <s v="2028-02"/>
    <s v="A321Neo"/>
    <n v="238.86"/>
    <n v="599948.73"/>
    <n v="2702609.96"/>
    <n v="3302559.18"/>
    <x v="1"/>
  </r>
  <r>
    <x v="3"/>
    <s v="2028-02"/>
    <s v="B38M"/>
    <n v="220.03"/>
    <n v="480823.39"/>
    <n v="2003997.55"/>
    <n v="2484821.11"/>
    <x v="1"/>
  </r>
  <r>
    <x v="3"/>
    <s v="2028-03"/>
    <s v="A319"/>
    <n v="1070.27"/>
    <n v="2322235.38"/>
    <n v="9059465.2200000007"/>
    <n v="11381700.6"/>
    <x v="1"/>
  </r>
  <r>
    <x v="3"/>
    <s v="2028-03"/>
    <s v="A320"/>
    <n v="13924.2"/>
    <n v="35798134.840000004"/>
    <n v="139336752.50999999"/>
    <n v="175134887.34999999"/>
    <x v="1"/>
  </r>
  <r>
    <x v="3"/>
    <s v="2028-03"/>
    <s v="A320Neo"/>
    <n v="1368.88"/>
    <n v="2991394.06"/>
    <n v="12467667.890000001"/>
    <n v="15459062.98"/>
    <x v="1"/>
  </r>
  <r>
    <x v="3"/>
    <s v="2028-03"/>
    <s v="A321"/>
    <n v="2943.54"/>
    <n v="8697892.6600000001"/>
    <n v="35492938.439999998"/>
    <n v="44190831.109999999"/>
    <x v="1"/>
  </r>
  <r>
    <x v="3"/>
    <s v="2028-03"/>
    <s v="A321Neo"/>
    <n v="297.20999999999998"/>
    <n v="746504.06"/>
    <n v="3362802.85"/>
    <n v="4109307.52"/>
    <x v="1"/>
  </r>
  <r>
    <x v="3"/>
    <s v="2028-03"/>
    <s v="B38M"/>
    <n v="273.77999999999997"/>
    <n v="598278.81000000006"/>
    <n v="2493533.58"/>
    <n v="3091812.6"/>
    <x v="1"/>
  </r>
  <r>
    <x v="3"/>
    <s v="2028-04"/>
    <s v="A319"/>
    <n v="1134.6400000000001"/>
    <n v="2461894.48"/>
    <n v="9604300.9199999999"/>
    <n v="12066195.4"/>
    <x v="1"/>
  </r>
  <r>
    <x v="3"/>
    <s v="2028-04"/>
    <s v="A320"/>
    <n v="14761.6"/>
    <n v="37951032.560000002"/>
    <n v="147716456.59"/>
    <n v="185667489.15000001"/>
    <x v="1"/>
  </r>
  <r>
    <x v="3"/>
    <s v="2028-04"/>
    <s v="A320Neo"/>
    <n v="1451.2"/>
    <n v="3171296.32"/>
    <n v="13217472.699999999"/>
    <n v="16388770.109999999"/>
    <x v="1"/>
  </r>
  <r>
    <x v="3"/>
    <s v="2028-04"/>
    <s v="A321"/>
    <n v="3120.56"/>
    <n v="9220983.4100000001"/>
    <n v="37627481.670000002"/>
    <n v="46848465.079999998"/>
    <x v="1"/>
  </r>
  <r>
    <x v="3"/>
    <s v="2028-04"/>
    <s v="A321Neo"/>
    <n v="315.08999999999997"/>
    <n v="791398.77"/>
    <n v="3565041.62"/>
    <n v="4356441.03"/>
    <x v="1"/>
  </r>
  <r>
    <x v="3"/>
    <s v="2028-04"/>
    <s v="B38M"/>
    <n v="290.24"/>
    <n v="634259.26"/>
    <n v="2643494.54"/>
    <n v="3277754.02"/>
    <x v="1"/>
  </r>
  <r>
    <x v="3"/>
    <s v="2028-05"/>
    <s v="A319"/>
    <n v="1227.5999999999999"/>
    <n v="2663594.4500000002"/>
    <n v="10391169.41"/>
    <n v="13054763.859999999"/>
    <x v="1"/>
  </r>
  <r>
    <x v="3"/>
    <s v="2028-05"/>
    <s v="A320"/>
    <n v="15971"/>
    <n v="41060313.689999998"/>
    <n v="159818683.06"/>
    <n v="200878996.74000001"/>
    <x v="1"/>
  </r>
  <r>
    <x v="3"/>
    <s v="2028-05"/>
    <s v="A320Neo"/>
    <n v="1570.1"/>
    <n v="3431116.71"/>
    <n v="14300363.880000001"/>
    <n v="17731481.760000002"/>
    <x v="1"/>
  </r>
  <r>
    <x v="3"/>
    <s v="2028-05"/>
    <s v="A321"/>
    <n v="3376.23"/>
    <n v="9976447.1699999999"/>
    <n v="40710254.670000002"/>
    <n v="50686701.840000004"/>
    <x v="1"/>
  </r>
  <r>
    <x v="3"/>
    <s v="2028-05"/>
    <s v="A321Neo"/>
    <n v="340.9"/>
    <n v="856237.09"/>
    <n v="3857121.06"/>
    <n v="4713358.8499999996"/>
    <x v="1"/>
  </r>
  <r>
    <x v="3"/>
    <s v="2028-05"/>
    <s v="B38M"/>
    <n v="314.02"/>
    <n v="686223.34"/>
    <n v="2860072.78"/>
    <n v="3546296.35"/>
    <x v="1"/>
  </r>
  <r>
    <x v="3"/>
    <s v="2028-06"/>
    <s v="A319"/>
    <n v="1256.1300000000001"/>
    <n v="2725501.03"/>
    <n v="10632678.310000001"/>
    <n v="13358179.34"/>
    <x v="1"/>
  </r>
  <r>
    <x v="3"/>
    <s v="2028-06"/>
    <s v="A320"/>
    <n v="16342.19"/>
    <n v="42014627"/>
    <n v="163533148.03999999"/>
    <n v="205547775.03999999"/>
    <x v="1"/>
  </r>
  <r>
    <x v="3"/>
    <s v="2028-06"/>
    <s v="A320Neo"/>
    <n v="1606.59"/>
    <n v="3510861.84"/>
    <n v="14632729.279999999"/>
    <n v="18143592.329999998"/>
    <x v="1"/>
  </r>
  <r>
    <x v="3"/>
    <s v="2028-06"/>
    <s v="A321"/>
    <n v="3454.7"/>
    <n v="10208317.210000001"/>
    <n v="41656432"/>
    <n v="51864749.210000001"/>
    <x v="1"/>
  </r>
  <r>
    <x v="3"/>
    <s v="2028-06"/>
    <s v="A321Neo"/>
    <n v="348.83"/>
    <n v="876137.53"/>
    <n v="3946767.29"/>
    <n v="4822905.53"/>
    <x v="1"/>
  </r>
  <r>
    <x v="3"/>
    <s v="2028-06"/>
    <s v="B38M"/>
    <n v="321.32"/>
    <n v="702172.37"/>
    <n v="2926545.86"/>
    <n v="3628718.47"/>
    <x v="1"/>
  </r>
  <r>
    <x v="3"/>
    <s v="2028-07"/>
    <s v="A319"/>
    <n v="1340.49"/>
    <n v="2908535.02"/>
    <n v="11346727.41"/>
    <n v="14255262.43"/>
    <x v="1"/>
  </r>
  <r>
    <x v="3"/>
    <s v="2028-07"/>
    <s v="A320"/>
    <n v="17439.669999999998"/>
    <n v="44836165.07"/>
    <n v="174515394.81999999"/>
    <n v="219351559.88999999"/>
    <x v="1"/>
  </r>
  <r>
    <x v="3"/>
    <s v="2028-07"/>
    <s v="A320Neo"/>
    <n v="1714.48"/>
    <n v="3746637.6"/>
    <n v="15615406.16"/>
    <n v="19362045.050000001"/>
    <x v="1"/>
  </r>
  <r>
    <x v="3"/>
    <s v="2028-07"/>
    <s v="A321"/>
    <n v="3686.7"/>
    <n v="10893867.880000001"/>
    <n v="44453915.090000004"/>
    <n v="55347782.969999999"/>
    <x v="1"/>
  </r>
  <r>
    <x v="3"/>
    <s v="2028-07"/>
    <s v="A321Neo"/>
    <n v="372.25"/>
    <n v="934975.5"/>
    <n v="4211816.74"/>
    <n v="5146793.01"/>
    <x v="1"/>
  </r>
  <r>
    <x v="3"/>
    <s v="2028-07"/>
    <s v="B38M"/>
    <n v="342.9"/>
    <n v="749327.52"/>
    <n v="3123081.23"/>
    <n v="3872409.01"/>
    <x v="1"/>
  </r>
  <r>
    <x v="3"/>
    <s v="2028-08"/>
    <s v="A319"/>
    <n v="1355.28"/>
    <n v="2940629.76"/>
    <n v="11471934.85"/>
    <n v="14412564.6"/>
    <x v="1"/>
  </r>
  <r>
    <x v="3"/>
    <s v="2028-08"/>
    <s v="A320"/>
    <n v="17632.11"/>
    <n v="45330917.520000003"/>
    <n v="176441115.28"/>
    <n v="221772032.80000001"/>
    <x v="1"/>
  </r>
  <r>
    <x v="3"/>
    <s v="2028-08"/>
    <s v="A320Neo"/>
    <n v="1733.4"/>
    <n v="3787980.52"/>
    <n v="15787717.08"/>
    <n v="19575698.899999999"/>
    <x v="1"/>
  </r>
  <r>
    <x v="3"/>
    <s v="2028-08"/>
    <s v="A321"/>
    <n v="3727.38"/>
    <n v="11014078.15"/>
    <n v="44944449.549999997"/>
    <n v="55958527.700000003"/>
    <x v="1"/>
  </r>
  <r>
    <x v="3"/>
    <s v="2028-08"/>
    <s v="A321Neo"/>
    <n v="376.36"/>
    <n v="945292.65"/>
    <n v="4258292.7699999996"/>
    <n v="5203586.1900000004"/>
    <x v="1"/>
  </r>
  <r>
    <x v="3"/>
    <s v="2028-08"/>
    <s v="B38M"/>
    <n v="346.68"/>
    <n v="757596.1"/>
    <n v="3157543.42"/>
    <n v="3915139.78"/>
    <x v="1"/>
  </r>
  <r>
    <x v="3"/>
    <s v="2028-09"/>
    <s v="A319"/>
    <n v="1246.04"/>
    <n v="2703612.15"/>
    <n v="10547285.789999999"/>
    <n v="13250897.939999999"/>
    <x v="1"/>
  </r>
  <r>
    <x v="3"/>
    <s v="2028-09"/>
    <s v="A320"/>
    <n v="16210.94"/>
    <n v="41677201.689999998"/>
    <n v="162219790.56999999"/>
    <n v="203896992.25999999"/>
    <x v="1"/>
  </r>
  <r>
    <x v="3"/>
    <s v="2028-09"/>
    <s v="A320Neo"/>
    <n v="1593.69"/>
    <n v="3482665.62"/>
    <n v="14515211.800000001"/>
    <n v="17997878.620000001"/>
    <x v="1"/>
  </r>
  <r>
    <x v="3"/>
    <s v="2028-09"/>
    <s v="A321"/>
    <n v="3426.95"/>
    <n v="10126332.789999999"/>
    <n v="41321883.399999999"/>
    <n v="51448216.189999998"/>
    <x v="1"/>
  </r>
  <r>
    <x v="3"/>
    <s v="2028-09"/>
    <s v="A321Neo"/>
    <n v="346.03"/>
    <n v="869101.15"/>
    <n v="3915070.25"/>
    <n v="4784172.1100000003"/>
    <x v="1"/>
  </r>
  <r>
    <x v="3"/>
    <s v="2028-09"/>
    <s v="B38M"/>
    <n v="318.74"/>
    <n v="696533.12"/>
    <n v="2903042.36"/>
    <n v="3599575.72"/>
    <x v="1"/>
  </r>
  <r>
    <x v="3"/>
    <s v="2028-10"/>
    <s v="A319"/>
    <n v="1208.54"/>
    <n v="2622233.87"/>
    <n v="10229814.220000001"/>
    <n v="12852048.09"/>
    <x v="1"/>
  </r>
  <r>
    <x v="3"/>
    <s v="2028-10"/>
    <s v="A320"/>
    <n v="15723"/>
    <n v="40422724.75"/>
    <n v="157337001.46000001"/>
    <n v="197759726.21000001"/>
    <x v="1"/>
  </r>
  <r>
    <x v="3"/>
    <s v="2028-10"/>
    <s v="A320Neo"/>
    <n v="1545.72"/>
    <n v="3377837.96"/>
    <n v="14078306.300000001"/>
    <n v="17456145.420000002"/>
    <x v="1"/>
  </r>
  <r>
    <x v="3"/>
    <s v="2028-10"/>
    <s v="A321"/>
    <n v="3323.8"/>
    <n v="9821531.8300000001"/>
    <n v="40078101.479999997"/>
    <n v="49899633.32"/>
    <x v="1"/>
  </r>
  <r>
    <x v="3"/>
    <s v="2028-10"/>
    <s v="A321Neo"/>
    <n v="335.61"/>
    <n v="842941.35"/>
    <n v="3797227.28"/>
    <n v="4640169.3099999996"/>
    <x v="1"/>
  </r>
  <r>
    <x v="3"/>
    <s v="2028-10"/>
    <s v="B38M"/>
    <n v="309.14"/>
    <n v="675567.59"/>
    <n v="2815661.26"/>
    <n v="3491229.08"/>
    <x v="1"/>
  </r>
  <r>
    <x v="3"/>
    <s v="2028-11"/>
    <s v="A319"/>
    <n v="984.49"/>
    <n v="2136112.7799999998"/>
    <n v="8333366.8600000003"/>
    <n v="10469479.640000001"/>
    <x v="1"/>
  </r>
  <r>
    <x v="3"/>
    <s v="2028-11"/>
    <s v="A320"/>
    <n v="12808.2"/>
    <n v="32928984.609999999"/>
    <n v="128169185.34999999"/>
    <n v="161098169.96000001"/>
    <x v="1"/>
  </r>
  <r>
    <x v="3"/>
    <s v="2028-11"/>
    <s v="A320Neo"/>
    <n v="1259.1600000000001"/>
    <n v="2751639.7"/>
    <n v="11468408.779999999"/>
    <n v="14220049.43"/>
    <x v="1"/>
  </r>
  <r>
    <x v="3"/>
    <s v="2028-11"/>
    <s v="A321"/>
    <n v="2707.62"/>
    <n v="8000773.6399999997"/>
    <n v="32648249.109999999"/>
    <n v="40649022.75"/>
    <x v="1"/>
  </r>
  <r>
    <x v="3"/>
    <s v="2028-11"/>
    <s v="A321Neo"/>
    <n v="273.39"/>
    <n v="686673.22"/>
    <n v="3093280.8"/>
    <n v="3779954.59"/>
    <x v="1"/>
  </r>
  <r>
    <x v="3"/>
    <s v="2028-11"/>
    <s v="B38M"/>
    <n v="251.83"/>
    <n v="550327.93999999994"/>
    <n v="2293681.7599999998"/>
    <n v="2844009.89"/>
    <x v="1"/>
  </r>
  <r>
    <x v="3"/>
    <s v="2028-12"/>
    <s v="A319"/>
    <n v="1034.75"/>
    <n v="2245154.2999999998"/>
    <n v="8758757.8200000003"/>
    <n v="11003912.119999999"/>
    <x v="1"/>
  </r>
  <r>
    <x v="3"/>
    <s v="2028-12"/>
    <s v="A320"/>
    <n v="13462.02"/>
    <n v="34609900.909999996"/>
    <n v="134711800.44999999"/>
    <n v="169321701.36000001"/>
    <x v="1"/>
  </r>
  <r>
    <x v="3"/>
    <s v="2028-12"/>
    <s v="A320Neo"/>
    <n v="1323.44"/>
    <n v="2892101.85"/>
    <n v="12053833.310000001"/>
    <n v="14945936.15"/>
    <x v="1"/>
  </r>
  <r>
    <x v="3"/>
    <s v="2028-12"/>
    <s v="A321"/>
    <n v="2845.84"/>
    <n v="8409186.8100000005"/>
    <n v="34314834.780000001"/>
    <n v="42724021.579999998"/>
    <x v="1"/>
  </r>
  <r>
    <x v="3"/>
    <s v="2028-12"/>
    <s v="A321Neo"/>
    <n v="287.35000000000002"/>
    <n v="721725.63"/>
    <n v="3251182.61"/>
    <n v="3972908.83"/>
    <x v="1"/>
  </r>
  <r>
    <x v="3"/>
    <s v="2028-12"/>
    <s v="B38M"/>
    <n v="264.69"/>
    <n v="578420.37"/>
    <n v="2410766.66"/>
    <n v="2989187.23"/>
    <x v="1"/>
  </r>
  <r>
    <x v="4"/>
    <s v="2029-01"/>
    <s v="A319"/>
    <n v="940.03"/>
    <n v="2039630.3"/>
    <n v="7956971.0800000001"/>
    <n v="9996601.3900000006"/>
    <x v="1"/>
  </r>
  <r>
    <x v="4"/>
    <s v="2029-01"/>
    <s v="A320"/>
    <n v="12229.69"/>
    <n v="31441670.890000001"/>
    <n v="122380127.75"/>
    <n v="153821798.63999999"/>
    <x v="1"/>
  </r>
  <r>
    <x v="4"/>
    <s v="2029-01"/>
    <s v="A320Neo"/>
    <n v="1202.29"/>
    <n v="2627355.5299999998"/>
    <n v="10950411.59"/>
    <n v="13577768.02"/>
    <x v="1"/>
  </r>
  <r>
    <x v="4"/>
    <s v="2029-01"/>
    <s v="A321"/>
    <n v="2585.3200000000002"/>
    <n v="7639400.2000000002"/>
    <n v="31173615.449999999"/>
    <n v="38813015.649999999"/>
    <x v="1"/>
  </r>
  <r>
    <x v="4"/>
    <s v="2029-01"/>
    <s v="A321Neo"/>
    <n v="261.04000000000002"/>
    <n v="655658.04"/>
    <n v="2953565.63"/>
    <n v="3609224.2"/>
    <x v="1"/>
  </r>
  <r>
    <x v="4"/>
    <s v="2029-01"/>
    <s v="B38M"/>
    <n v="480.92"/>
    <n v="1050942.21"/>
    <n v="4380164.63"/>
    <n v="5431107.21"/>
    <x v="1"/>
  </r>
  <r>
    <x v="4"/>
    <s v="2029-02"/>
    <s v="A319"/>
    <n v="895.75"/>
    <n v="1943557.21"/>
    <n v="7582172.3799999999"/>
    <n v="9525729.5899999999"/>
    <x v="1"/>
  </r>
  <r>
    <x v="4"/>
    <s v="2029-02"/>
    <s v="A320"/>
    <n v="11653.63"/>
    <n v="29960667.949999999"/>
    <n v="116615633.56"/>
    <n v="146576301.5"/>
    <x v="1"/>
  </r>
  <r>
    <x v="4"/>
    <s v="2029-02"/>
    <s v="A320Neo"/>
    <n v="1145.6600000000001"/>
    <n v="2503598.71"/>
    <n v="10434612.289999999"/>
    <n v="12938211.859999999"/>
    <x v="1"/>
  </r>
  <r>
    <x v="4"/>
    <s v="2029-02"/>
    <s v="A321"/>
    <n v="2463.5500000000002"/>
    <n v="7279560.0999999996"/>
    <n v="29705238.77"/>
    <n v="36984798.869999997"/>
    <x v="1"/>
  </r>
  <r>
    <x v="4"/>
    <s v="2029-02"/>
    <s v="A321Neo"/>
    <n v="248.75"/>
    <n v="624774.44999999995"/>
    <n v="2814443.27"/>
    <n v="3439218.23"/>
    <x v="1"/>
  </r>
  <r>
    <x v="4"/>
    <s v="2029-02"/>
    <s v="B38M"/>
    <n v="458.26"/>
    <n v="1001439.48"/>
    <n v="4173844.92"/>
    <n v="5175284.74"/>
    <x v="1"/>
  </r>
  <r>
    <x v="4"/>
    <s v="2029-03"/>
    <s v="A319"/>
    <n v="1114.56"/>
    <n v="2418328.89"/>
    <n v="9434343.5700000003"/>
    <n v="11852672.460000001"/>
    <x v="1"/>
  </r>
  <r>
    <x v="4"/>
    <s v="2029-03"/>
    <s v="A320"/>
    <n v="14500.38"/>
    <n v="37279452.5"/>
    <n v="145102471.66"/>
    <n v="182381924.16"/>
    <x v="1"/>
  </r>
  <r>
    <x v="4"/>
    <s v="2029-03"/>
    <s v="A320Neo"/>
    <n v="1425.52"/>
    <n v="3115177.18"/>
    <n v="12983576.789999999"/>
    <n v="16098755.050000001"/>
    <x v="1"/>
  </r>
  <r>
    <x v="4"/>
    <s v="2029-03"/>
    <s v="A321"/>
    <n v="3065.34"/>
    <n v="9057809.2300000004"/>
    <n v="36961627.149999999"/>
    <n v="46019436.380000003"/>
    <x v="1"/>
  </r>
  <r>
    <x v="4"/>
    <s v="2029-03"/>
    <s v="A321Neo"/>
    <n v="309.51"/>
    <n v="777394.2"/>
    <n v="3501954.77"/>
    <n v="4279349.6100000003"/>
    <x v="1"/>
  </r>
  <r>
    <x v="4"/>
    <s v="2029-03"/>
    <s v="B38M"/>
    <n v="570.21"/>
    <n v="1246070.8700000001"/>
    <n v="5193430.72"/>
    <n v="6439502.0199999996"/>
    <x v="1"/>
  </r>
  <r>
    <x v="4"/>
    <s v="2029-04"/>
    <s v="A319"/>
    <n v="1181.5899999999999"/>
    <n v="2563767.0499999998"/>
    <n v="10001724.43"/>
    <n v="12565491.48"/>
    <x v="1"/>
  </r>
  <r>
    <x v="4"/>
    <s v="2029-04"/>
    <s v="A320"/>
    <n v="15372.43"/>
    <n v="39521436.57"/>
    <n v="153828925.75"/>
    <n v="193350362.31999999"/>
    <x v="1"/>
  </r>
  <r>
    <x v="4"/>
    <s v="2029-04"/>
    <s v="A320Neo"/>
    <n v="1511.25"/>
    <n v="3302523.75"/>
    <n v="13764408.34"/>
    <n v="17066933.219999999"/>
    <x v="1"/>
  </r>
  <r>
    <x v="4"/>
    <s v="2029-04"/>
    <s v="A321"/>
    <n v="3249.69"/>
    <n v="9602545.3499999996"/>
    <n v="39184497.229999997"/>
    <n v="48787042.57"/>
    <x v="1"/>
  </r>
  <r>
    <x v="4"/>
    <s v="2029-04"/>
    <s v="A321Neo"/>
    <n v="328.13"/>
    <n v="824146.64"/>
    <n v="3712562.13"/>
    <n v="4536709.45"/>
    <x v="1"/>
  </r>
  <r>
    <x v="4"/>
    <s v="2029-04"/>
    <s v="B38M"/>
    <n v="604.5"/>
    <n v="1321009.5"/>
    <n v="5505763.3300000001"/>
    <n v="6826773.29"/>
    <x v="1"/>
  </r>
  <r>
    <x v="4"/>
    <s v="2029-05"/>
    <s v="A319"/>
    <n v="1278.4000000000001"/>
    <n v="2773813.31"/>
    <n v="10821153.34"/>
    <n v="13594966.640000001"/>
    <x v="1"/>
  </r>
  <r>
    <x v="4"/>
    <s v="2029-05"/>
    <s v="A320"/>
    <n v="16631.87"/>
    <n v="42759378.950000003"/>
    <n v="166431939.25"/>
    <n v="209191318.19999999"/>
    <x v="1"/>
  </r>
  <r>
    <x v="4"/>
    <s v="2029-05"/>
    <s v="A320Neo"/>
    <n v="1635.07"/>
    <n v="3573095.44"/>
    <n v="14892109.279999999"/>
    <n v="18465205.940000001"/>
    <x v="1"/>
  </r>
  <r>
    <x v="4"/>
    <s v="2029-05"/>
    <s v="A321"/>
    <n v="3515.93"/>
    <n v="10389270"/>
    <n v="42394834.590000004"/>
    <n v="52784104.590000004"/>
    <x v="1"/>
  </r>
  <r>
    <x v="4"/>
    <s v="2029-05"/>
    <s v="A321Neo"/>
    <n v="355.01"/>
    <n v="891667.96"/>
    <n v="4016727.75"/>
    <n v="4908396.4400000004"/>
    <x v="1"/>
  </r>
  <r>
    <x v="4"/>
    <s v="2029-05"/>
    <s v="B38M"/>
    <n v="654.03"/>
    <n v="1429238.18"/>
    <n v="5956843.71"/>
    <n v="7386082.3799999999"/>
    <x v="1"/>
  </r>
  <r>
    <x v="4"/>
    <s v="2029-06"/>
    <s v="A319"/>
    <n v="1308.1099999999999"/>
    <n v="2838281.57"/>
    <n v="11072655.82"/>
    <n v="13910937.380000001"/>
    <x v="1"/>
  </r>
  <r>
    <x v="4"/>
    <s v="2029-06"/>
    <s v="A320"/>
    <n v="17018.43"/>
    <n v="43753181.509999998"/>
    <n v="170300107.84"/>
    <n v="214053289.34999999"/>
    <x v="1"/>
  </r>
  <r>
    <x v="4"/>
    <s v="2029-06"/>
    <s v="A320Neo"/>
    <n v="1673.07"/>
    <n v="3656140.41"/>
    <n v="15238227.869999999"/>
    <n v="18894369.539999999"/>
    <x v="1"/>
  </r>
  <r>
    <x v="4"/>
    <s v="2029-06"/>
    <s v="A321"/>
    <n v="3597.65"/>
    <n v="10630734.76"/>
    <n v="43380164.5"/>
    <n v="54010899.259999998"/>
    <x v="1"/>
  </r>
  <r>
    <x v="4"/>
    <s v="2029-06"/>
    <s v="A321Neo"/>
    <n v="363.26"/>
    <n v="912391.88"/>
    <n v="4110083.51"/>
    <n v="5022476.13"/>
    <x v="1"/>
  </r>
  <r>
    <x v="4"/>
    <s v="2029-06"/>
    <s v="B38M"/>
    <n v="669.23"/>
    <n v="1462456.16"/>
    <n v="6095291.1500000004"/>
    <n v="7557747.8200000003"/>
    <x v="1"/>
  </r>
  <r>
    <x v="4"/>
    <s v="2029-07"/>
    <s v="A319"/>
    <n v="1395.96"/>
    <n v="3028889.46"/>
    <n v="11816252.09"/>
    <n v="14845141.539999999"/>
    <x v="1"/>
  </r>
  <r>
    <x v="4"/>
    <s v="2029-07"/>
    <s v="A320"/>
    <n v="18161.32"/>
    <n v="46691474.100000001"/>
    <n v="181736797.18000001"/>
    <n v="228428271.28"/>
    <x v="1"/>
  </r>
  <r>
    <x v="4"/>
    <s v="2029-07"/>
    <s v="A320Neo"/>
    <n v="1785.43"/>
    <n v="3901672.5"/>
    <n v="16261567.67"/>
    <n v="20163241.52"/>
    <x v="1"/>
  </r>
  <r>
    <x v="4"/>
    <s v="2029-07"/>
    <s v="A321"/>
    <n v="3839.26"/>
    <n v="11344653.34"/>
    <n v="46293406.719999999"/>
    <n v="57638060.060000002"/>
    <x v="1"/>
  </r>
  <r>
    <x v="4"/>
    <s v="2029-07"/>
    <s v="A321Neo"/>
    <n v="387.66"/>
    <n v="973664.55"/>
    <n v="4386100.6399999997"/>
    <n v="5359765.99"/>
    <x v="1"/>
  </r>
  <r>
    <x v="4"/>
    <s v="2029-07"/>
    <s v="B38M"/>
    <n v="714.17"/>
    <n v="1560669"/>
    <n v="6504627.0700000003"/>
    <n v="8065296.6100000003"/>
    <x v="1"/>
  </r>
  <r>
    <x v="4"/>
    <s v="2029-08"/>
    <s v="A319"/>
    <n v="1411.36"/>
    <n v="3062312.26"/>
    <n v="11946640.57"/>
    <n v="15008952.84"/>
    <x v="1"/>
  </r>
  <r>
    <x v="4"/>
    <s v="2029-08"/>
    <s v="A320"/>
    <n v="18361.72"/>
    <n v="47206699.289999999"/>
    <n v="183742203.46000001"/>
    <n v="230948902.74000001"/>
    <x v="1"/>
  </r>
  <r>
    <x v="4"/>
    <s v="2029-08"/>
    <s v="A320Neo"/>
    <n v="1805.13"/>
    <n v="3944726.19"/>
    <n v="16441008.77"/>
    <n v="20385736.309999999"/>
    <x v="1"/>
  </r>
  <r>
    <x v="4"/>
    <s v="2029-08"/>
    <s v="A321"/>
    <n v="3881.62"/>
    <n v="11469837.890000001"/>
    <n v="46804239.359999999"/>
    <n v="58274077.25"/>
    <x v="1"/>
  </r>
  <r>
    <x v="4"/>
    <s v="2029-08"/>
    <s v="A321Neo"/>
    <n v="391.93"/>
    <n v="984408.62"/>
    <n v="4434499.83"/>
    <n v="5418909.2599999998"/>
    <x v="1"/>
  </r>
  <r>
    <x v="4"/>
    <s v="2029-08"/>
    <s v="B38M"/>
    <n v="722.05"/>
    <n v="1577890.47"/>
    <n v="6576403.5099999998"/>
    <n v="8154294.5199999996"/>
    <x v="1"/>
  </r>
  <r>
    <x v="4"/>
    <s v="2029-09"/>
    <s v="A319"/>
    <n v="1297.5999999999999"/>
    <n v="2815486.93"/>
    <n v="10983729.779999999"/>
    <n v="13799216.710000001"/>
    <x v="1"/>
  </r>
  <r>
    <x v="4"/>
    <s v="2029-09"/>
    <s v="A320"/>
    <n v="16881.75"/>
    <n v="43401793.619999997"/>
    <n v="168932403.97"/>
    <n v="212334197.59999999"/>
    <x v="1"/>
  </r>
  <r>
    <x v="4"/>
    <s v="2029-09"/>
    <s v="A320Neo"/>
    <n v="1659.63"/>
    <n v="3626777.44"/>
    <n v="15115847.550000001"/>
    <n v="18742626.23"/>
    <x v="1"/>
  </r>
  <r>
    <x v="4"/>
    <s v="2029-09"/>
    <s v="A321"/>
    <n v="3568.76"/>
    <n v="10545357.85"/>
    <n v="43031772.359999999"/>
    <n v="53577130.210000001"/>
    <x v="1"/>
  </r>
  <r>
    <x v="4"/>
    <s v="2029-09"/>
    <s v="A321Neo"/>
    <n v="360.34"/>
    <n v="905064.33"/>
    <n v="4077074.85"/>
    <n v="4982139.93"/>
    <x v="1"/>
  </r>
  <r>
    <x v="4"/>
    <s v="2029-09"/>
    <s v="B38M"/>
    <n v="663.85"/>
    <n v="1450710.97"/>
    <n v="6046339.0199999996"/>
    <n v="7497050.4900000002"/>
    <x v="1"/>
  </r>
  <r>
    <x v="4"/>
    <s v="2029-10"/>
    <s v="A319"/>
    <n v="1258.55"/>
    <n v="2730741.24"/>
    <n v="10653121.310000001"/>
    <n v="13383862.550000001"/>
    <x v="1"/>
  </r>
  <r>
    <x v="4"/>
    <s v="2029-10"/>
    <s v="A320"/>
    <n v="16373.61"/>
    <n v="42095406.75"/>
    <n v="163847566.30000001"/>
    <n v="205942973.05000001"/>
    <x v="1"/>
  </r>
  <r>
    <x v="4"/>
    <s v="2029-10"/>
    <s v="A320Neo"/>
    <n v="1609.68"/>
    <n v="3517612.03"/>
    <n v="14660863.01"/>
    <n v="18178476.25"/>
    <x v="1"/>
  </r>
  <r>
    <x v="4"/>
    <s v="2029-10"/>
    <s v="A321"/>
    <n v="3461.34"/>
    <n v="10227944.310000001"/>
    <n v="41736523.060000002"/>
    <n v="51964467.369999997"/>
    <x v="1"/>
  </r>
  <r>
    <x v="4"/>
    <s v="2029-10"/>
    <s v="A321Neo"/>
    <n v="349.5"/>
    <n v="877822.04"/>
    <n v="3954355.57"/>
    <n v="4832178.33"/>
    <x v="1"/>
  </r>
  <r>
    <x v="4"/>
    <s v="2029-10"/>
    <s v="B38M"/>
    <n v="643.87"/>
    <n v="1407044.81"/>
    <n v="5864345.2000000002"/>
    <n v="7271390.5"/>
    <x v="1"/>
  </r>
  <r>
    <x v="4"/>
    <s v="2029-11"/>
    <s v="A319"/>
    <n v="1025.23"/>
    <n v="2224504.58"/>
    <n v="8678199.4499999993"/>
    <n v="10902704.029999999"/>
    <x v="1"/>
  </r>
  <r>
    <x v="4"/>
    <s v="2029-11"/>
    <s v="A320"/>
    <n v="13338.2"/>
    <n v="34291577.57"/>
    <n v="133472793.42"/>
    <n v="167764370.99000001"/>
    <x v="1"/>
  </r>
  <r>
    <x v="4"/>
    <s v="2029-11"/>
    <s v="A320Neo"/>
    <n v="1311.27"/>
    <n v="2865501.85"/>
    <n v="11942968.6"/>
    <n v="14808471.43"/>
    <x v="1"/>
  </r>
  <r>
    <x v="4"/>
    <s v="2029-11"/>
    <s v="A321"/>
    <n v="2819.66"/>
    <n v="8331843.6100000003"/>
    <n v="33999225.299999997"/>
    <n v="42331068.899999999"/>
    <x v="1"/>
  </r>
  <r>
    <x v="4"/>
    <s v="2029-11"/>
    <s v="A321Neo"/>
    <n v="284.70999999999998"/>
    <n v="715087.58"/>
    <n v="3221279.97"/>
    <n v="3936368.14"/>
    <x v="1"/>
  </r>
  <r>
    <x v="4"/>
    <s v="2029-11"/>
    <s v="B38M"/>
    <n v="524.51"/>
    <n v="1146200.74"/>
    <n v="4777187.4400000004"/>
    <n v="5923388.5700000003"/>
    <x v="1"/>
  </r>
  <r>
    <x v="4"/>
    <s v="2029-12"/>
    <s v="A319"/>
    <n v="1077.57"/>
    <n v="2338058.21"/>
    <n v="9121192.9700000007"/>
    <n v="11459251.189999999"/>
    <x v="1"/>
  </r>
  <r>
    <x v="4"/>
    <s v="2029-12"/>
    <s v="A320"/>
    <n v="14019.07"/>
    <n v="36042049.75"/>
    <n v="140286140.27000001"/>
    <n v="176328190.02000001"/>
    <x v="1"/>
  </r>
  <r>
    <x v="4"/>
    <s v="2029-12"/>
    <s v="A320Neo"/>
    <n v="1378.2"/>
    <n v="3011776.29"/>
    <n v="12552617.85"/>
    <n v="15564395.17"/>
    <x v="1"/>
  </r>
  <r>
    <x v="4"/>
    <s v="2029-12"/>
    <s v="A321"/>
    <n v="2963.6"/>
    <n v="8757156.8000000007"/>
    <n v="35734773.859999999"/>
    <n v="44491930.659999996"/>
    <x v="1"/>
  </r>
  <r>
    <x v="4"/>
    <s v="2029-12"/>
    <s v="A321Neo"/>
    <n v="299.24"/>
    <n v="751590.45"/>
    <n v="3385715.71"/>
    <n v="4137306.78"/>
    <x v="1"/>
  </r>
  <r>
    <x v="4"/>
    <s v="2029-12"/>
    <s v="B38M"/>
    <n v="551.28"/>
    <n v="1204710.51"/>
    <n v="5021047.1399999997"/>
    <n v="6225758.0700000003"/>
    <x v="1"/>
  </r>
  <r>
    <x v="5"/>
    <s v="2030-01"/>
    <s v="A319"/>
    <n v="856.56"/>
    <n v="1858525.97"/>
    <n v="7250449.9500000002"/>
    <n v="9108975.9199999999"/>
    <x v="1"/>
  </r>
  <r>
    <x v="5"/>
    <s v="2030-01"/>
    <s v="A320"/>
    <n v="12735.75"/>
    <n v="32742719.18"/>
    <n v="127444186.09999999"/>
    <n v="160186905.28"/>
    <x v="1"/>
  </r>
  <r>
    <x v="5"/>
    <s v="2030-01"/>
    <s v="A320Neo"/>
    <n v="1252.04"/>
    <n v="2736074.83"/>
    <n v="11403536.810000001"/>
    <n v="14139612.58"/>
    <x v="1"/>
  </r>
  <r>
    <x v="5"/>
    <s v="2030-01"/>
    <s v="A321"/>
    <n v="2692.3"/>
    <n v="7955516.6299999999"/>
    <n v="32463571.68"/>
    <n v="40419088.299999997"/>
    <x v="1"/>
  </r>
  <r>
    <x v="5"/>
    <s v="2030-01"/>
    <s v="A321Neo"/>
    <n v="271.85000000000002"/>
    <n v="682789"/>
    <n v="3075783.41"/>
    <n v="3758572.97"/>
    <x v="1"/>
  </r>
  <r>
    <x v="5"/>
    <s v="2030-01"/>
    <s v="B38M"/>
    <n v="876.43"/>
    <n v="1915252.38"/>
    <n v="7982475.7699999996"/>
    <n v="9897728.8100000005"/>
    <x v="1"/>
  </r>
  <r>
    <x v="5"/>
    <s v="2030-02"/>
    <s v="A319"/>
    <n v="816.21"/>
    <n v="1770983.47"/>
    <n v="6908930.6399999997"/>
    <n v="8679914.1099999994"/>
    <x v="1"/>
  </r>
  <r>
    <x v="5"/>
    <s v="2030-02"/>
    <s v="A320"/>
    <n v="12135.85"/>
    <n v="31200432.719999999"/>
    <n v="121441158.62"/>
    <n v="152641591.34"/>
    <x v="1"/>
  </r>
  <r>
    <x v="5"/>
    <s v="2030-02"/>
    <s v="A320Neo"/>
    <n v="1193.07"/>
    <n v="2607196.98"/>
    <n v="10866393.869999999"/>
    <n v="13473591.75"/>
    <x v="1"/>
  </r>
  <r>
    <x v="5"/>
    <s v="2030-02"/>
    <s v="A321"/>
    <n v="2565.4899999999998"/>
    <n v="7580786.4299999997"/>
    <n v="30934433.949999999"/>
    <n v="38515220.380000003"/>
    <x v="1"/>
  </r>
  <r>
    <x v="5"/>
    <s v="2030-02"/>
    <s v="A321Neo"/>
    <n v="259.04000000000002"/>
    <n v="650627.46"/>
    <n v="2930904.21"/>
    <n v="3581532.2"/>
    <x v="1"/>
  </r>
  <r>
    <x v="5"/>
    <s v="2030-02"/>
    <s v="B38M"/>
    <n v="835.15"/>
    <n v="1825037.89"/>
    <n v="7606475.71"/>
    <n v="9431514.2300000004"/>
    <x v="1"/>
  </r>
  <r>
    <x v="5"/>
    <s v="2030-03"/>
    <s v="A319"/>
    <n v="1015.6"/>
    <n v="2203598.88"/>
    <n v="8596642.5"/>
    <n v="10800241.380000001"/>
    <x v="1"/>
  </r>
  <r>
    <x v="5"/>
    <s v="2030-03"/>
    <s v="A320"/>
    <n v="15100.4"/>
    <n v="38822066.700000003"/>
    <n v="151106774.78999999"/>
    <n v="189928841.49000001"/>
    <x v="1"/>
  </r>
  <r>
    <x v="5"/>
    <s v="2030-03"/>
    <s v="A320Neo"/>
    <n v="1484.51"/>
    <n v="3244082.42"/>
    <n v="13520833.880000001"/>
    <n v="16764917.41"/>
    <x v="1"/>
  </r>
  <r>
    <x v="5"/>
    <s v="2030-03"/>
    <s v="A321"/>
    <n v="3192.18"/>
    <n v="9432619.0600000005"/>
    <n v="38491089.82"/>
    <n v="47923708.880000003"/>
    <x v="1"/>
  </r>
  <r>
    <x v="5"/>
    <s v="2030-03"/>
    <s v="A321Neo"/>
    <n v="322.32"/>
    <n v="809562.58"/>
    <n v="3646864.76"/>
    <n v="4456428"/>
    <x v="1"/>
  </r>
  <r>
    <x v="5"/>
    <s v="2030-03"/>
    <s v="B38M"/>
    <n v="1039.1600000000001"/>
    <n v="2270857.69"/>
    <n v="9464583.7100000009"/>
    <n v="11735442.189999999"/>
    <x v="1"/>
  </r>
  <r>
    <x v="5"/>
    <s v="2030-04"/>
    <s v="A319"/>
    <n v="1076.67"/>
    <n v="2336123.19"/>
    <n v="9113644.0800000001"/>
    <n v="11449767.26"/>
    <x v="1"/>
  </r>
  <r>
    <x v="5"/>
    <s v="2030-04"/>
    <s v="A320"/>
    <n v="16008.54"/>
    <n v="41156823.5"/>
    <n v="160194327.31"/>
    <n v="201351150.81"/>
    <x v="1"/>
  </r>
  <r>
    <x v="5"/>
    <s v="2030-04"/>
    <s v="A320Neo"/>
    <n v="1573.79"/>
    <n v="3439181.34"/>
    <n v="14333976.029999999"/>
    <n v="17773158.550000001"/>
    <x v="1"/>
  </r>
  <r>
    <x v="5"/>
    <s v="2030-04"/>
    <s v="A321"/>
    <n v="3384.16"/>
    <n v="9999896.2200000007"/>
    <n v="40805941.689999998"/>
    <n v="50805837.899999999"/>
    <x v="1"/>
  </r>
  <r>
    <x v="5"/>
    <s v="2030-04"/>
    <s v="A321Neo"/>
    <n v="341.7"/>
    <n v="858249.62"/>
    <n v="3866187"/>
    <n v="4724437.32"/>
    <x v="1"/>
  </r>
  <r>
    <x v="5"/>
    <s v="2030-04"/>
    <s v="B38M"/>
    <n v="1101.6500000000001"/>
    <n v="2407426.94"/>
    <n v="10033783.220000001"/>
    <n v="12441210.99"/>
    <x v="1"/>
  </r>
  <r>
    <x v="5"/>
    <s v="2030-05"/>
    <s v="A319"/>
    <n v="1164.8800000000001"/>
    <n v="2527518.87"/>
    <n v="9860313.6600000001"/>
    <n v="12387832.52"/>
    <x v="1"/>
  </r>
  <r>
    <x v="5"/>
    <s v="2030-05"/>
    <s v="A320"/>
    <n v="17320.09"/>
    <n v="44528751.109999999"/>
    <n v="173318850.28"/>
    <n v="217847601.38999999"/>
    <x v="1"/>
  </r>
  <r>
    <x v="5"/>
    <s v="2030-05"/>
    <s v="A320Neo"/>
    <n v="1702.73"/>
    <n v="3720949.21"/>
    <n v="15508340.949999999"/>
    <n v="19229291.440000001"/>
    <x v="1"/>
  </r>
  <r>
    <x v="5"/>
    <s v="2030-05"/>
    <s v="A321"/>
    <n v="3661.42"/>
    <n v="10819175.34"/>
    <n v="44149121.990000002"/>
    <n v="54968297.32"/>
    <x v="1"/>
  </r>
  <r>
    <x v="5"/>
    <s v="2030-05"/>
    <s v="A321Neo"/>
    <n v="369.7"/>
    <n v="928564.95"/>
    <n v="4182938.91"/>
    <n v="5111504.62"/>
    <x v="1"/>
  </r>
  <r>
    <x v="5"/>
    <s v="2030-05"/>
    <s v="B38M"/>
    <n v="1191.9100000000001"/>
    <n v="2604664.4500000002"/>
    <n v="10855838.66"/>
    <n v="13460504"/>
    <x v="1"/>
  </r>
  <r>
    <x v="5"/>
    <s v="2030-06"/>
    <s v="A319"/>
    <n v="1191.96"/>
    <n v="2586262.81"/>
    <n v="10089484.550000001"/>
    <n v="12675747.359999999"/>
    <x v="1"/>
  </r>
  <r>
    <x v="5"/>
    <s v="2030-06"/>
    <s v="A320"/>
    <n v="17722.64"/>
    <n v="45563676.960000001"/>
    <n v="177347082.69999999"/>
    <n v="222910759.66"/>
    <x v="1"/>
  </r>
  <r>
    <x v="5"/>
    <s v="2030-06"/>
    <s v="A320Neo"/>
    <n v="1742.3"/>
    <n v="3807430.56"/>
    <n v="15868781.84"/>
    <n v="19676213.710000001"/>
    <x v="1"/>
  </r>
  <r>
    <x v="5"/>
    <s v="2030-06"/>
    <s v="A321"/>
    <n v="3746.52"/>
    <n v="11070631.84"/>
    <n v="45175224.600000001"/>
    <n v="56245856.439999998"/>
    <x v="1"/>
  </r>
  <r>
    <x v="5"/>
    <s v="2030-06"/>
    <s v="A321Neo"/>
    <n v="378.29"/>
    <n v="950146.42"/>
    <n v="4280157.71"/>
    <n v="5230304.91"/>
    <x v="1"/>
  </r>
  <r>
    <x v="5"/>
    <s v="2030-06"/>
    <s v="B38M"/>
    <n v="1219.6099999999999"/>
    <n v="2665201.39"/>
    <n v="11108147.289999999"/>
    <n v="13773349.6"/>
    <x v="1"/>
  </r>
  <r>
    <x v="5"/>
    <s v="2030-07"/>
    <s v="A319"/>
    <n v="1272.01"/>
    <n v="2759946.11"/>
    <n v="10767054.880000001"/>
    <n v="13527000.99"/>
    <x v="1"/>
  </r>
  <r>
    <x v="5"/>
    <s v="2030-07"/>
    <s v="A320"/>
    <n v="18912.830000000002"/>
    <n v="48623555.340000004"/>
    <n v="189257019.31999999"/>
    <n v="237880574.66999999"/>
    <x v="1"/>
  </r>
  <r>
    <x v="5"/>
    <s v="2030-07"/>
    <s v="A320Neo"/>
    <n v="1859.31"/>
    <n v="4063122.71"/>
    <n v="16934467.18"/>
    <n v="20997591.289999999"/>
    <x v="1"/>
  </r>
  <r>
    <x v="5"/>
    <s v="2030-07"/>
    <s v="A321"/>
    <n v="3998.12"/>
    <n v="11814092.189999999"/>
    <n v="48209016.039999999"/>
    <n v="60023108.229999997"/>
    <x v="1"/>
  </r>
  <r>
    <x v="5"/>
    <s v="2030-07"/>
    <s v="A321Neo"/>
    <n v="403.7"/>
    <n v="1013954.54"/>
    <n v="4567596.3600000003"/>
    <n v="5581551.7300000004"/>
    <x v="1"/>
  </r>
  <r>
    <x v="5"/>
    <s v="2030-07"/>
    <s v="B38M"/>
    <n v="1301.51"/>
    <n v="2844185.9"/>
    <n v="11854127.029999999"/>
    <n v="14698313.9"/>
    <x v="1"/>
  </r>
  <r>
    <x v="5"/>
    <s v="2030-08"/>
    <s v="A319"/>
    <n v="1286.04"/>
    <n v="2790401.22"/>
    <n v="10885865.810000001"/>
    <n v="13676267.029999999"/>
    <x v="1"/>
  </r>
  <r>
    <x v="5"/>
    <s v="2030-08"/>
    <s v="A320"/>
    <n v="19121.52"/>
    <n v="49160100.420000002"/>
    <n v="191345408.80000001"/>
    <n v="240505509.22"/>
    <x v="1"/>
  </r>
  <r>
    <x v="5"/>
    <s v="2030-08"/>
    <s v="A320Neo"/>
    <n v="1879.82"/>
    <n v="4107957.95"/>
    <n v="17121333.5"/>
    <n v="21229292.859999999"/>
    <x v="1"/>
  </r>
  <r>
    <x v="5"/>
    <s v="2030-08"/>
    <s v="A321"/>
    <n v="4042.24"/>
    <n v="11944456.84"/>
    <n v="48740986.810000002"/>
    <n v="60685443.649999999"/>
    <x v="1"/>
  </r>
  <r>
    <x v="5"/>
    <s v="2030-08"/>
    <s v="A321Neo"/>
    <n v="408.15"/>
    <n v="1025143.2"/>
    <n v="4617998.3"/>
    <n v="5643142.3399999999"/>
    <x v="1"/>
  </r>
  <r>
    <x v="5"/>
    <s v="2030-08"/>
    <s v="B38M"/>
    <n v="1315.88"/>
    <n v="2875570.56"/>
    <n v="11984933.449999999"/>
    <n v="14860505"/>
    <x v="1"/>
  </r>
  <r>
    <x v="5"/>
    <s v="2030-09"/>
    <s v="A319"/>
    <n v="1182.3900000000001"/>
    <n v="2565492.1800000002"/>
    <n v="10008454.49"/>
    <n v="12573946.67"/>
    <x v="1"/>
  </r>
  <r>
    <x v="5"/>
    <s v="2030-09"/>
    <s v="A320"/>
    <n v="17580.310000000001"/>
    <n v="45197748.729999997"/>
    <n v="175922783.59999999"/>
    <n v="221120532.33000001"/>
    <x v="1"/>
  </r>
  <r>
    <x v="5"/>
    <s v="2030-09"/>
    <s v="A320Neo"/>
    <n v="1728.31"/>
    <n v="3776852.56"/>
    <n v="15741337.449999999"/>
    <n v="19518191.300000001"/>
    <x v="1"/>
  </r>
  <r>
    <x v="5"/>
    <s v="2030-09"/>
    <s v="A321"/>
    <n v="3716.43"/>
    <n v="10981722.060000001"/>
    <n v="44812416.079999998"/>
    <n v="55794138.140000001"/>
    <x v="1"/>
  </r>
  <r>
    <x v="5"/>
    <s v="2030-09"/>
    <s v="A321Neo"/>
    <n v="375.25"/>
    <n v="942515.66"/>
    <n v="4245783.17"/>
    <n v="5188299.5999999996"/>
    <x v="1"/>
  </r>
  <r>
    <x v="5"/>
    <s v="2030-09"/>
    <s v="B38M"/>
    <n v="1209.82"/>
    <n v="2643796.79"/>
    <n v="11018936.210000001"/>
    <n v="13662733.91"/>
    <x v="1"/>
  </r>
  <r>
    <x v="5"/>
    <s v="2030-10"/>
    <s v="A319"/>
    <n v="1146.8"/>
    <n v="2488271.2799999998"/>
    <n v="9707201.6500000004"/>
    <n v="12195472.93"/>
    <x v="1"/>
  </r>
  <r>
    <x v="5"/>
    <s v="2030-10"/>
    <s v="A320"/>
    <n v="17051.150000000001"/>
    <n v="43837303.899999999"/>
    <n v="170627536.65000001"/>
    <n v="214464840.55000001"/>
    <x v="1"/>
  </r>
  <r>
    <x v="5"/>
    <s v="2030-10"/>
    <s v="A320Neo"/>
    <n v="1676.29"/>
    <n v="3663169.92"/>
    <n v="15267525.77"/>
    <n v="18930696.940000001"/>
    <x v="1"/>
  </r>
  <r>
    <x v="5"/>
    <s v="2030-10"/>
    <s v="A321"/>
    <n v="3604.57"/>
    <n v="10651174.02"/>
    <n v="43463569.700000003"/>
    <n v="54114743.729999997"/>
    <x v="1"/>
  </r>
  <r>
    <x v="5"/>
    <s v="2030-10"/>
    <s v="A321Neo"/>
    <n v="363.96"/>
    <n v="914146.09"/>
    <n v="4117985.79"/>
    <n v="5032132.63"/>
    <x v="1"/>
  </r>
  <r>
    <x v="5"/>
    <s v="2030-10"/>
    <s v="B38M"/>
    <n v="1173.4000000000001"/>
    <n v="2564218.94"/>
    <n v="10687268.039999999"/>
    <n v="13251487.859999999"/>
    <x v="1"/>
  </r>
  <r>
    <x v="5"/>
    <s v="2030-11"/>
    <s v="A319"/>
    <n v="934.2"/>
    <n v="2026984.75"/>
    <n v="7907638.4800000004"/>
    <n v="9934623.2400000002"/>
    <x v="1"/>
  </r>
  <r>
    <x v="5"/>
    <s v="2030-11"/>
    <s v="A320"/>
    <n v="13890.13"/>
    <n v="35710554.270000003"/>
    <n v="138995863.44999999"/>
    <n v="174706417.71000001"/>
    <x v="1"/>
  </r>
  <r>
    <x v="5"/>
    <s v="2030-11"/>
    <s v="A320Neo"/>
    <n v="1365.53"/>
    <n v="2984075.58"/>
    <n v="12437165.59"/>
    <n v="15421242.189999999"/>
    <x v="1"/>
  </r>
  <r>
    <x v="5"/>
    <s v="2030-11"/>
    <s v="A321"/>
    <n v="2936.34"/>
    <n v="8676613.1600000001"/>
    <n v="35406104.539999999"/>
    <n v="44082717.700000003"/>
    <x v="1"/>
  </r>
  <r>
    <x v="5"/>
    <s v="2030-11"/>
    <s v="A321Neo"/>
    <n v="296.49"/>
    <n v="744677.72"/>
    <n v="3354575.71"/>
    <n v="4099254.05"/>
    <x v="1"/>
  </r>
  <r>
    <x v="5"/>
    <s v="2030-11"/>
    <s v="B38M"/>
    <n v="955.87"/>
    <n v="2088852.91"/>
    <n v="8706015.9100000001"/>
    <n v="10794869.529999999"/>
    <x v="1"/>
  </r>
  <r>
    <x v="5"/>
    <s v="2030-12"/>
    <s v="A319"/>
    <n v="981.89"/>
    <n v="2130455.66"/>
    <n v="8311297.4000000004"/>
    <n v="10441753.060000001"/>
    <x v="1"/>
  </r>
  <r>
    <x v="5"/>
    <s v="2030-12"/>
    <s v="A320"/>
    <n v="14599.18"/>
    <n v="37533460.539999999"/>
    <n v="146091144.84"/>
    <n v="183624605.38"/>
    <x v="1"/>
  </r>
  <r>
    <x v="5"/>
    <s v="2030-12"/>
    <s v="A320Neo"/>
    <n v="1435.23"/>
    <n v="3136402.82"/>
    <n v="13072041.960000001"/>
    <n v="16208445.85"/>
    <x v="1"/>
  </r>
  <r>
    <x v="5"/>
    <s v="2030-12"/>
    <s v="A321"/>
    <n v="3086.23"/>
    <n v="9119525.7100000009"/>
    <n v="37213469.649999999"/>
    <n v="46332995.359999999"/>
    <x v="1"/>
  </r>
  <r>
    <x v="5"/>
    <s v="2030-12"/>
    <s v="A321Neo"/>
    <n v="311.62"/>
    <n v="782691.07"/>
    <n v="3525815.76"/>
    <n v="4308507.4800000004"/>
    <x v="1"/>
  </r>
  <r>
    <x v="5"/>
    <s v="2030-12"/>
    <s v="B38M"/>
    <n v="1004.66"/>
    <n v="2195481.9700000002"/>
    <n v="9150429.3699999992"/>
    <n v="11345912.1"/>
    <x v="1"/>
  </r>
  <r>
    <x v="6"/>
    <s v="2031-01"/>
    <s v="A319"/>
    <n v="764.57"/>
    <n v="1658941.12"/>
    <n v="6471832.8899999997"/>
    <n v="8130774.0099999998"/>
    <x v="1"/>
  </r>
  <r>
    <x v="6"/>
    <s v="2031-01"/>
    <s v="A320"/>
    <n v="13262.75"/>
    <n v="34097604.520000003"/>
    <n v="132717793.90000001"/>
    <n v="166815398.41999999"/>
    <x v="1"/>
  </r>
  <r>
    <x v="6"/>
    <s v="2031-01"/>
    <s v="A320Neo"/>
    <n v="1303.8499999999999"/>
    <n v="2849292.91"/>
    <n v="11875412.25"/>
    <n v="14724706.130000001"/>
    <x v="1"/>
  </r>
  <r>
    <x v="6"/>
    <s v="2031-01"/>
    <s v="A321"/>
    <n v="2803.71"/>
    <n v="8284713.8700000001"/>
    <n v="33806905.960000001"/>
    <n v="42091619.829999998"/>
    <x v="1"/>
  </r>
  <r>
    <x v="6"/>
    <s v="2031-01"/>
    <s v="A321Neo"/>
    <n v="283.10000000000002"/>
    <n v="711042.63"/>
    <n v="3203058.54"/>
    <n v="3914101.76"/>
    <x v="1"/>
  </r>
  <r>
    <x v="6"/>
    <s v="2031-01"/>
    <s v="B38M"/>
    <n v="1564.62"/>
    <n v="3419151.49"/>
    <n v="14250494.699999999"/>
    <n v="17669647.359999999"/>
    <x v="1"/>
  </r>
  <r>
    <x v="6"/>
    <s v="2031-02"/>
    <s v="A319"/>
    <n v="728.56"/>
    <n v="1580799.7"/>
    <n v="6166988.9299999997"/>
    <n v="7747788.6299999999"/>
    <x v="1"/>
  </r>
  <r>
    <x v="6"/>
    <s v="2031-02"/>
    <s v="A320"/>
    <n v="12638.03"/>
    <n v="32491498.629999999"/>
    <n v="126466362.67"/>
    <n v="158957861.31"/>
    <x v="1"/>
  </r>
  <r>
    <x v="6"/>
    <s v="2031-02"/>
    <s v="A320Neo"/>
    <n v="1242.44"/>
    <n v="2715082.13"/>
    <n v="11316042.470000001"/>
    <n v="14031125.529999999"/>
    <x v="1"/>
  </r>
  <r>
    <x v="6"/>
    <s v="2031-02"/>
    <s v="A321"/>
    <n v="2671.65"/>
    <n v="7894477.4299999997"/>
    <n v="32214492.91"/>
    <n v="40108970.340000004"/>
    <x v="1"/>
  </r>
  <r>
    <x v="6"/>
    <s v="2031-02"/>
    <s v="A321Neo"/>
    <n v="269.76"/>
    <n v="677550.26"/>
    <n v="3052184.28"/>
    <n v="3729735.09"/>
    <x v="1"/>
  </r>
  <r>
    <x v="6"/>
    <s v="2031-02"/>
    <s v="B38M"/>
    <n v="1490.92"/>
    <n v="3258098.55"/>
    <n v="13579250.960000001"/>
    <n v="16837350.629999999"/>
    <x v="1"/>
  </r>
  <r>
    <x v="6"/>
    <s v="2031-03"/>
    <s v="A319"/>
    <n v="906.53"/>
    <n v="1966957.06"/>
    <n v="7673459.46"/>
    <n v="9640416.5199999996"/>
    <x v="1"/>
  </r>
  <r>
    <x v="6"/>
    <s v="2031-03"/>
    <s v="A320"/>
    <n v="15725.25"/>
    <n v="40428513.880000003"/>
    <n v="157359534.44999999"/>
    <n v="197788048.31999999"/>
    <x v="1"/>
  </r>
  <r>
    <x v="6"/>
    <s v="2031-03"/>
    <s v="A320Neo"/>
    <n v="1545.94"/>
    <n v="3378321.72"/>
    <n v="14080322.52"/>
    <n v="17458645.399999999"/>
    <x v="1"/>
  </r>
  <r>
    <x v="6"/>
    <s v="2031-03"/>
    <s v="A321"/>
    <n v="3324.28"/>
    <n v="9822938.4199999999"/>
    <n v="40083841.259999998"/>
    <n v="49906779.68"/>
    <x v="1"/>
  </r>
  <r>
    <x v="6"/>
    <s v="2031-03"/>
    <s v="A321Neo"/>
    <n v="335.66"/>
    <n v="843062.07"/>
    <n v="3797771.09"/>
    <n v="4640833.8499999996"/>
    <x v="1"/>
  </r>
  <r>
    <x v="6"/>
    <s v="2031-03"/>
    <s v="B38M"/>
    <n v="1855.12"/>
    <n v="4053986.06"/>
    <n v="16896387.030000001"/>
    <n v="20950374.48"/>
    <x v="1"/>
  </r>
  <r>
    <x v="6"/>
    <s v="2031-04"/>
    <s v="A319"/>
    <n v="961.05"/>
    <n v="2085249.74"/>
    <n v="8134940.8600000003"/>
    <n v="10220190.6"/>
    <x v="1"/>
  </r>
  <r>
    <x v="6"/>
    <s v="2031-04"/>
    <s v="A320"/>
    <n v="16670.96"/>
    <n v="42859882.32"/>
    <n v="166823127.56999999"/>
    <n v="209683009.88"/>
    <x v="1"/>
  </r>
  <r>
    <x v="6"/>
    <s v="2031-04"/>
    <s v="A320Neo"/>
    <n v="1638.91"/>
    <n v="3581493.79"/>
    <n v="14927112.289999999"/>
    <n v="18508607.300000001"/>
    <x v="1"/>
  </r>
  <r>
    <x v="6"/>
    <s v="2031-04"/>
    <s v="A321"/>
    <n v="3524.2"/>
    <n v="10413689.359999999"/>
    <n v="42494481.109999999"/>
    <n v="52908170.469999999"/>
    <x v="1"/>
  </r>
  <r>
    <x v="6"/>
    <s v="2031-04"/>
    <s v="A321Neo"/>
    <n v="355.84"/>
    <n v="893763.77"/>
    <n v="4026168.82"/>
    <n v="4919933.33"/>
    <x v="1"/>
  </r>
  <r>
    <x v="6"/>
    <s v="2031-04"/>
    <s v="B38M"/>
    <n v="1966.69"/>
    <n v="4297792.54"/>
    <n v="17912534.75"/>
    <n v="22210328.760000002"/>
    <x v="1"/>
  </r>
  <r>
    <x v="6"/>
    <s v="2031-05"/>
    <s v="A319"/>
    <n v="1039.79"/>
    <n v="2256091.67"/>
    <n v="8801426.4900000002"/>
    <n v="11057518.17"/>
    <x v="1"/>
  </r>
  <r>
    <x v="6"/>
    <s v="2031-05"/>
    <s v="A320"/>
    <n v="18036.8"/>
    <n v="46371339.43"/>
    <n v="180490739.94"/>
    <n v="226862079.37"/>
    <x v="1"/>
  </r>
  <r>
    <x v="6"/>
    <s v="2031-05"/>
    <s v="A320Neo"/>
    <n v="1773.18"/>
    <n v="3874921.14"/>
    <n v="16150072.119999999"/>
    <n v="20024994.59"/>
    <x v="1"/>
  </r>
  <r>
    <x v="6"/>
    <s v="2031-05"/>
    <s v="A321"/>
    <n v="3812.93"/>
    <n v="11266870.039999999"/>
    <n v="45976001.350000001"/>
    <n v="57242871.390000001"/>
    <x v="1"/>
  </r>
  <r>
    <x v="6"/>
    <s v="2031-05"/>
    <s v="A321Neo"/>
    <n v="385"/>
    <n v="966988.73"/>
    <n v="4356027.8499999996"/>
    <n v="5323017.38"/>
    <x v="1"/>
  </r>
  <r>
    <x v="6"/>
    <s v="2031-05"/>
    <s v="B38M"/>
    <n v="2127.8200000000002"/>
    <n v="4649905.37"/>
    <n v="19380086.550000001"/>
    <n v="24029993.510000002"/>
    <x v="1"/>
  </r>
  <r>
    <x v="6"/>
    <s v="2031-06"/>
    <s v="A319"/>
    <n v="1063.96"/>
    <n v="2308527.1800000002"/>
    <n v="9005987"/>
    <n v="11314514.18"/>
    <x v="1"/>
  </r>
  <r>
    <x v="6"/>
    <s v="2031-06"/>
    <s v="A320"/>
    <n v="18456"/>
    <n v="47449090.25"/>
    <n v="184685659.58000001"/>
    <n v="232134749.83000001"/>
    <x v="1"/>
  </r>
  <r>
    <x v="6"/>
    <s v="2031-06"/>
    <s v="A320Neo"/>
    <n v="1814.4"/>
    <n v="3964981.07"/>
    <n v="16525427.970000001"/>
    <n v="20490410.399999999"/>
    <x v="1"/>
  </r>
  <r>
    <x v="6"/>
    <s v="2031-06"/>
    <s v="A321"/>
    <n v="3901.55"/>
    <n v="11528731.76"/>
    <n v="47044563.82"/>
    <n v="58573295.579999998"/>
    <x v="1"/>
  </r>
  <r>
    <x v="6"/>
    <s v="2031-06"/>
    <s v="A321Neo"/>
    <n v="393.95"/>
    <n v="989463.24"/>
    <n v="4457269.54"/>
    <n v="5446733.5899999999"/>
    <x v="1"/>
  </r>
  <r>
    <x v="6"/>
    <s v="2031-06"/>
    <s v="B38M"/>
    <n v="2177.27"/>
    <n v="4757977.28"/>
    <n v="19830513.57"/>
    <n v="24588492.48"/>
    <x v="1"/>
  </r>
  <r>
    <x v="6"/>
    <s v="2031-07"/>
    <s v="A319"/>
    <n v="1135.4100000000001"/>
    <n v="2463558.84"/>
    <n v="9610793.8699999992"/>
    <n v="12074352.710000001"/>
    <x v="1"/>
  </r>
  <r>
    <x v="6"/>
    <s v="2031-07"/>
    <s v="A320"/>
    <n v="19695.439999999999"/>
    <n v="50635585.619999997"/>
    <n v="197088426.33000001"/>
    <n v="247724011.94999999"/>
    <x v="1"/>
  </r>
  <r>
    <x v="6"/>
    <s v="2031-07"/>
    <s v="A320Neo"/>
    <n v="1936.24"/>
    <n v="4231253.6900000004"/>
    <n v="17635211.100000001"/>
    <n v="21866466.239999998"/>
    <x v="1"/>
  </r>
  <r>
    <x v="6"/>
    <s v="2031-07"/>
    <s v="A321"/>
    <n v="4163.5600000000004"/>
    <n v="12302956.300000001"/>
    <n v="50203892.780000001"/>
    <n v="62506849.079999998"/>
    <x v="1"/>
  </r>
  <r>
    <x v="6"/>
    <s v="2031-07"/>
    <s v="A321Neo"/>
    <n v="420.4"/>
    <n v="1055911.72"/>
    <n v="4756602.33"/>
    <n v="5812514.9199999999"/>
    <x v="1"/>
  </r>
  <r>
    <x v="6"/>
    <s v="2031-07"/>
    <s v="B38M"/>
    <n v="2323.4899999999998"/>
    <n v="5077504.43"/>
    <n v="21162253.32"/>
    <n v="26239759.489999998"/>
    <x v="1"/>
  </r>
  <r>
    <x v="6"/>
    <s v="2031-08"/>
    <s v="A319"/>
    <n v="1147.93"/>
    <n v="2490743.4"/>
    <n v="9716845.8499999996"/>
    <n v="12207589.25"/>
    <x v="1"/>
  </r>
  <r>
    <x v="6"/>
    <s v="2031-08"/>
    <s v="A320"/>
    <n v="19912.77"/>
    <n v="51194332.789999999"/>
    <n v="199263232.83000001"/>
    <n v="250457565.62"/>
    <x v="1"/>
  </r>
  <r>
    <x v="6"/>
    <s v="2031-08"/>
    <s v="A320Neo"/>
    <n v="1957.61"/>
    <n v="4277944.1900000004"/>
    <n v="17829809.899999999"/>
    <n v="22107755.559999999"/>
    <x v="1"/>
  </r>
  <r>
    <x v="6"/>
    <s v="2031-08"/>
    <s v="A321"/>
    <n v="4209.51"/>
    <n v="12438715.41"/>
    <n v="50757876.359999999"/>
    <n v="63196591.770000003"/>
    <x v="1"/>
  </r>
  <r>
    <x v="6"/>
    <s v="2031-08"/>
    <s v="A321Neo"/>
    <n v="425.04"/>
    <n v="1067563.3600000001"/>
    <n v="4809089.8899999997"/>
    <n v="5876654.1200000001"/>
    <x v="1"/>
  </r>
  <r>
    <x v="6"/>
    <s v="2031-08"/>
    <s v="B38M"/>
    <n v="2349.13"/>
    <n v="5133533.03"/>
    <n v="21395771.879999999"/>
    <n v="26529306.68"/>
    <x v="1"/>
  </r>
  <r>
    <x v="6"/>
    <s v="2031-09"/>
    <s v="A319"/>
    <n v="1055.4100000000001"/>
    <n v="2289987.0699999998"/>
    <n v="8933658.6600000001"/>
    <n v="11223645.74"/>
    <x v="1"/>
  </r>
  <r>
    <x v="6"/>
    <s v="2031-09"/>
    <s v="A320"/>
    <n v="18307.78"/>
    <n v="47068020"/>
    <n v="183202423.34999999"/>
    <n v="230270443.34999999"/>
    <x v="1"/>
  </r>
  <r>
    <x v="6"/>
    <s v="2031-09"/>
    <s v="A320Neo"/>
    <n v="1799.82"/>
    <n v="3933137.75"/>
    <n v="16392709.960000001"/>
    <n v="20325849.059999999"/>
    <x v="1"/>
  </r>
  <r>
    <x v="6"/>
    <s v="2031-09"/>
    <s v="A321"/>
    <n v="3870.22"/>
    <n v="11436142.91"/>
    <n v="46666742.390000001"/>
    <n v="58102885.289999999"/>
    <x v="1"/>
  </r>
  <r>
    <x v="6"/>
    <s v="2031-09"/>
    <s v="A321Neo"/>
    <n v="390.78"/>
    <n v="981516.72"/>
    <n v="4421472.59"/>
    <n v="5402990.1100000003"/>
    <x v="1"/>
  </r>
  <r>
    <x v="6"/>
    <s v="2031-09"/>
    <s v="B38M"/>
    <n v="2159.79"/>
    <n v="4719765.3"/>
    <n v="19671251.949999999"/>
    <n v="24391018.870000001"/>
    <x v="1"/>
  </r>
  <r>
    <x v="6"/>
    <s v="2031-10"/>
    <s v="A319"/>
    <n v="1023.64"/>
    <n v="2221058.84"/>
    <n v="8664757"/>
    <n v="10885815.84"/>
    <x v="1"/>
  </r>
  <r>
    <x v="6"/>
    <s v="2031-10"/>
    <s v="A320"/>
    <n v="17756.72"/>
    <n v="45651280.310000002"/>
    <n v="177688060.44"/>
    <n v="223339340.75"/>
    <x v="1"/>
  </r>
  <r>
    <x v="6"/>
    <s v="2031-10"/>
    <s v="A320Neo"/>
    <n v="1745.65"/>
    <n v="3814750.95"/>
    <n v="15899292.08"/>
    <n v="19714044.34"/>
    <x v="1"/>
  </r>
  <r>
    <x v="6"/>
    <s v="2031-10"/>
    <s v="A321"/>
    <n v="3753.72"/>
    <n v="11091916.880000001"/>
    <n v="45262081.090000004"/>
    <n v="56353997.969999999"/>
    <x v="1"/>
  </r>
  <r>
    <x v="6"/>
    <s v="2031-10"/>
    <s v="A321Neo"/>
    <n v="379.02"/>
    <n v="951973.23"/>
    <n v="4288386.99"/>
    <n v="5240360.99"/>
    <x v="1"/>
  </r>
  <r>
    <x v="6"/>
    <s v="2031-10"/>
    <s v="B38M"/>
    <n v="2094.7800000000002"/>
    <n v="4577701.1399999997"/>
    <n v="19079150.489999998"/>
    <n v="23656853.199999999"/>
    <x v="1"/>
  </r>
  <r>
    <x v="6"/>
    <s v="2031-11"/>
    <s v="A319"/>
    <n v="833.88"/>
    <n v="1809309.31"/>
    <n v="7058446.75"/>
    <n v="8867756.0600000005"/>
    <x v="1"/>
  </r>
  <r>
    <x v="6"/>
    <s v="2031-11"/>
    <s v="A320"/>
    <n v="14464.9"/>
    <n v="37188247.859999999"/>
    <n v="144747476.69"/>
    <n v="181935724.55000001"/>
    <x v="1"/>
  </r>
  <r>
    <x v="6"/>
    <s v="2031-11"/>
    <s v="A320Neo"/>
    <n v="1422.03"/>
    <n v="3107555.86"/>
    <n v="12951812.32"/>
    <n v="16059369.25"/>
    <x v="1"/>
  </r>
  <r>
    <x v="6"/>
    <s v="2031-11"/>
    <s v="A321"/>
    <n v="3057.84"/>
    <n v="9035649.1899999995"/>
    <n v="36871200.079999998"/>
    <n v="45906849.270000003"/>
    <x v="1"/>
  </r>
  <r>
    <x v="6"/>
    <s v="2031-11"/>
    <s v="A321Neo"/>
    <n v="308.76"/>
    <n v="775492.3"/>
    <n v="3493387.2"/>
    <n v="4268880.13"/>
    <x v="1"/>
  </r>
  <r>
    <x v="6"/>
    <s v="2031-11"/>
    <s v="B38M"/>
    <n v="1706.44"/>
    <n v="3729067.04"/>
    <n v="15542174.779999999"/>
    <n v="19271243.09"/>
    <x v="1"/>
  </r>
  <r>
    <x v="6"/>
    <s v="2031-12"/>
    <s v="A319"/>
    <n v="876.44"/>
    <n v="1901668.6"/>
    <n v="7418757.2300000004"/>
    <n v="9320425.8200000003"/>
    <x v="1"/>
  </r>
  <r>
    <x v="6"/>
    <s v="2031-12"/>
    <s v="A320"/>
    <n v="15203.29"/>
    <n v="39086585.530000001"/>
    <n v="152136359.00999999"/>
    <n v="191222944.53999999"/>
    <x v="1"/>
  </r>
  <r>
    <x v="6"/>
    <s v="2031-12"/>
    <s v="A320Neo"/>
    <n v="1494.62"/>
    <n v="3266186.36"/>
    <n v="13612959.710000001"/>
    <n v="16879147.190000001"/>
    <x v="1"/>
  </r>
  <r>
    <x v="6"/>
    <s v="2031-12"/>
    <s v="A321"/>
    <n v="3213.94"/>
    <n v="9496889.3499999996"/>
    <n v="38753353.5"/>
    <n v="48250242.850000001"/>
    <x v="1"/>
  </r>
  <r>
    <x v="6"/>
    <s v="2031-12"/>
    <s v="A321Neo"/>
    <n v="324.52"/>
    <n v="815078.63"/>
    <n v="3671713.12"/>
    <n v="4486792.41"/>
    <x v="1"/>
  </r>
  <r>
    <x v="6"/>
    <s v="2031-12"/>
    <s v="B38M"/>
    <n v="1793.55"/>
    <n v="3919423.64"/>
    <n v="16335551.65"/>
    <n v="20254976.629999999"/>
    <x v="1"/>
  </r>
  <r>
    <x v="7"/>
    <s v="2032-01"/>
    <s v="A319"/>
    <n v="663.51"/>
    <n v="1439656.4"/>
    <n v="5616363.0700000003"/>
    <n v="7056019.46"/>
    <x v="1"/>
  </r>
  <r>
    <x v="7"/>
    <s v="2032-01"/>
    <s v="A320"/>
    <n v="13811.56"/>
    <n v="35508554.659999996"/>
    <n v="138209622.22999999"/>
    <n v="173718176.90000001"/>
    <x v="1"/>
  </r>
  <r>
    <x v="7"/>
    <s v="2032-01"/>
    <s v="A320Neo"/>
    <n v="1357.8"/>
    <n v="2967195.92"/>
    <n v="12366813.77"/>
    <n v="15334010.699999999"/>
    <x v="1"/>
  </r>
  <r>
    <x v="7"/>
    <s v="2032-01"/>
    <s v="A321"/>
    <n v="2919.73"/>
    <n v="8627533.2100000009"/>
    <n v="35205827.07"/>
    <n v="43833360.280000001"/>
    <x v="1"/>
  </r>
  <r>
    <x v="7"/>
    <s v="2032-01"/>
    <s v="A321Neo"/>
    <n v="294.81"/>
    <n v="740465.4"/>
    <n v="3335600.29"/>
    <n v="4076066.29"/>
    <x v="1"/>
  </r>
  <r>
    <x v="7"/>
    <s v="2032-01"/>
    <s v="B38M"/>
    <n v="2444.0500000000002"/>
    <n v="5340952.6500000004"/>
    <n v="22260264.780000001"/>
    <n v="27601219.260000002"/>
    <x v="1"/>
  </r>
  <r>
    <x v="7"/>
    <s v="2032-02"/>
    <s v="A319"/>
    <n v="632.26"/>
    <n v="1371843.99"/>
    <n v="5351814.46"/>
    <n v="6723658.4500000002"/>
    <x v="1"/>
  </r>
  <r>
    <x v="7"/>
    <s v="2032-02"/>
    <s v="A320"/>
    <n v="13160.99"/>
    <n v="33835988.530000001"/>
    <n v="131699508.39"/>
    <n v="165535496.91"/>
    <x v="1"/>
  </r>
  <r>
    <x v="7"/>
    <s v="2032-02"/>
    <s v="A320Neo"/>
    <n v="1293.8499999999999"/>
    <n v="2827431.53"/>
    <n v="11784297.41"/>
    <n v="14611729.91"/>
    <x v="1"/>
  </r>
  <r>
    <x v="7"/>
    <s v="2032-02"/>
    <s v="A321"/>
    <n v="2782.2"/>
    <n v="8221148.8899999997"/>
    <n v="33547520.379999999"/>
    <n v="41768669.259999998"/>
    <x v="1"/>
  </r>
  <r>
    <x v="7"/>
    <s v="2032-02"/>
    <s v="A321Neo"/>
    <n v="280.92"/>
    <n v="705587.11"/>
    <n v="3178482.88"/>
    <n v="3884070.57"/>
    <x v="1"/>
  </r>
  <r>
    <x v="7"/>
    <s v="2032-02"/>
    <s v="B38M"/>
    <n v="2328.9299999999998"/>
    <n v="5089376.75"/>
    <n v="21211735.34"/>
    <n v="26301113.84"/>
    <x v="1"/>
  </r>
  <r>
    <x v="7"/>
    <s v="2032-03"/>
    <s v="A319"/>
    <n v="786.7"/>
    <n v="1706957.7"/>
    <n v="6659154.3700000001"/>
    <n v="8366112.0700000003"/>
    <x v="1"/>
  </r>
  <r>
    <x v="7"/>
    <s v="2032-03"/>
    <s v="A320"/>
    <n v="16375.96"/>
    <n v="42101435.43"/>
    <n v="163871031.69999999"/>
    <n v="205972467.13"/>
    <x v="1"/>
  </r>
  <r>
    <x v="7"/>
    <s v="2032-03"/>
    <s v="A320Neo"/>
    <n v="1609.91"/>
    <n v="3518115.8"/>
    <n v="14662962.66"/>
    <n v="18181079.68"/>
    <x v="1"/>
  </r>
  <r>
    <x v="7"/>
    <s v="2032-03"/>
    <s v="A321"/>
    <n v="3461.83"/>
    <n v="10229409.1"/>
    <n v="41742500.350000001"/>
    <n v="51971909.450000003"/>
    <x v="1"/>
  </r>
  <r>
    <x v="7"/>
    <s v="2032-03"/>
    <s v="A321Neo"/>
    <n v="349.55"/>
    <n v="877947.76"/>
    <n v="3954921.89"/>
    <n v="4832870.37"/>
    <x v="1"/>
  </r>
  <r>
    <x v="7"/>
    <s v="2032-03"/>
    <s v="B38M"/>
    <n v="2897.83"/>
    <n v="6332608.4500000002"/>
    <n v="26393332.800000001"/>
    <n v="32725943.420000002"/>
    <x v="1"/>
  </r>
  <r>
    <x v="7"/>
    <s v="2032-04"/>
    <s v="A319"/>
    <n v="834.02"/>
    <n v="1809614.03"/>
    <n v="7059635.5199999996"/>
    <n v="8869249.5600000005"/>
    <x v="1"/>
  </r>
  <r>
    <x v="7"/>
    <s v="2032-04"/>
    <s v="A320"/>
    <n v="17360.8"/>
    <n v="44633413.280000001"/>
    <n v="173726225.88"/>
    <n v="218359639.15000001"/>
    <x v="1"/>
  </r>
  <r>
    <x v="7"/>
    <s v="2032-04"/>
    <s v="A320Neo"/>
    <n v="1706.73"/>
    <n v="3729695.08"/>
    <n v="15544792.369999999"/>
    <n v="19274488.739999998"/>
    <x v="1"/>
  </r>
  <r>
    <x v="7"/>
    <s v="2032-04"/>
    <s v="A321"/>
    <n v="3670.03"/>
    <n v="10844605.16"/>
    <n v="44252891.859999999"/>
    <n v="55097497.020000003"/>
    <x v="1"/>
  </r>
  <r>
    <x v="7"/>
    <s v="2032-04"/>
    <s v="A321Neo"/>
    <n v="370.57"/>
    <n v="930747.49"/>
    <n v="4192770.66"/>
    <n v="5123518.91"/>
    <x v="1"/>
  </r>
  <r>
    <x v="7"/>
    <s v="2032-04"/>
    <s v="B38M"/>
    <n v="3072.11"/>
    <n v="6713451.1500000004"/>
    <n v="27980626.27"/>
    <n v="34694079.719999999"/>
    <x v="1"/>
  </r>
  <r>
    <x v="7"/>
    <s v="2032-05"/>
    <s v="A319"/>
    <n v="902.35"/>
    <n v="1957873.47"/>
    <n v="7638022.7199999997"/>
    <n v="9595896.1999999993"/>
    <x v="1"/>
  </r>
  <r>
    <x v="7"/>
    <s v="2032-05"/>
    <s v="A320"/>
    <n v="18783.150000000001"/>
    <n v="48290173.579999998"/>
    <n v="187959400.55000001"/>
    <n v="236249574.13"/>
    <x v="1"/>
  </r>
  <r>
    <x v="7"/>
    <s v="2032-05"/>
    <s v="A320Neo"/>
    <n v="1846.56"/>
    <n v="4035264.38"/>
    <n v="16818357.969999999"/>
    <n v="20853623.739999998"/>
    <x v="1"/>
  </r>
  <r>
    <x v="7"/>
    <s v="2032-05"/>
    <s v="A321"/>
    <n v="3970.71"/>
    <n v="11733090.24"/>
    <n v="47878476.520000003"/>
    <n v="59611566.759999998"/>
    <x v="1"/>
  </r>
  <r>
    <x v="7"/>
    <s v="2032-05"/>
    <s v="A321Neo"/>
    <n v="400.93"/>
    <n v="1007002.48"/>
    <n v="4536279.17"/>
    <n v="5543282.4699999997"/>
    <x v="1"/>
  </r>
  <r>
    <x v="7"/>
    <s v="2032-05"/>
    <s v="B38M"/>
    <n v="3323.8"/>
    <n v="7263475.8899999997"/>
    <n v="30273044.350000001"/>
    <n v="37536522.740000002"/>
    <x v="1"/>
  </r>
  <r>
    <x v="7"/>
    <s v="2032-06"/>
    <s v="A319"/>
    <n v="923.32"/>
    <n v="2003377.87"/>
    <n v="7815543.7000000002"/>
    <n v="9818921.5600000005"/>
    <x v="1"/>
  </r>
  <r>
    <x v="7"/>
    <s v="2032-06"/>
    <s v="A320"/>
    <n v="19219.71"/>
    <n v="49412521.450000003"/>
    <n v="192327904.88999999"/>
    <n v="241740426.34999999"/>
    <x v="1"/>
  </r>
  <r>
    <x v="7"/>
    <s v="2032-06"/>
    <s v="A320Neo"/>
    <n v="1889.48"/>
    <n v="4129050.97"/>
    <n v="17209245.949999999"/>
    <n v="21338298.329999998"/>
    <x v="1"/>
  </r>
  <r>
    <x v="7"/>
    <s v="2032-06"/>
    <s v="A321"/>
    <n v="4063"/>
    <n v="12005787.720000001"/>
    <n v="48991255.829999998"/>
    <n v="60997043.560000002"/>
    <x v="1"/>
  </r>
  <r>
    <x v="7"/>
    <s v="2032-06"/>
    <s v="A321Neo"/>
    <n v="410.25"/>
    <n v="1030406.97"/>
    <n v="4641710.21"/>
    <n v="5672118.0300000003"/>
    <x v="1"/>
  </r>
  <r>
    <x v="7"/>
    <s v="2032-06"/>
    <s v="B38M"/>
    <n v="3401.06"/>
    <n v="7432291.7400000002"/>
    <n v="30976642.710000001"/>
    <n v="38408937"/>
    <x v="1"/>
  </r>
  <r>
    <x v="7"/>
    <s v="2032-07"/>
    <s v="A319"/>
    <n v="985.32"/>
    <n v="2137916.89"/>
    <n v="8340405.0499999998"/>
    <n v="10478321.939999999"/>
    <x v="1"/>
  </r>
  <r>
    <x v="7"/>
    <s v="2032-07"/>
    <s v="A320"/>
    <n v="20510.43"/>
    <n v="52730873.189999998"/>
    <n v="205243894.96000001"/>
    <n v="257974768.13999999"/>
    <x v="1"/>
  </r>
  <r>
    <x v="7"/>
    <s v="2032-07"/>
    <s v="A320Neo"/>
    <n v="2016.36"/>
    <n v="4406341.88"/>
    <n v="18364951.620000001"/>
    <n v="22771295.02"/>
    <x v="1"/>
  </r>
  <r>
    <x v="7"/>
    <s v="2032-07"/>
    <s v="A321"/>
    <n v="4335.8500000000004"/>
    <n v="12812049.48"/>
    <n v="52281317.009999998"/>
    <n v="65093366.490000002"/>
    <x v="1"/>
  </r>
  <r>
    <x v="7"/>
    <s v="2032-07"/>
    <s v="A321Neo"/>
    <n v="437.8"/>
    <n v="1099605.07"/>
    <n v="4953429.32"/>
    <n v="6053035.29"/>
    <x v="1"/>
  </r>
  <r>
    <x v="7"/>
    <s v="2032-07"/>
    <s v="B38M"/>
    <n v="3629.46"/>
    <n v="7931415.3899999997"/>
    <n v="33056912.91"/>
    <n v="40988331.030000001"/>
    <x v="1"/>
  </r>
  <r>
    <x v="7"/>
    <s v="2032-08"/>
    <s v="A319"/>
    <n v="996.2"/>
    <n v="2161508.11"/>
    <n v="8432438.6999999993"/>
    <n v="10593946.810000001"/>
    <x v="1"/>
  </r>
  <r>
    <x v="7"/>
    <s v="2032-08"/>
    <s v="A320"/>
    <n v="20736.75"/>
    <n v="53312741.170000002"/>
    <n v="207508694.38999999"/>
    <n v="260821435.56"/>
    <x v="1"/>
  </r>
  <r>
    <x v="7"/>
    <s v="2032-08"/>
    <s v="A320Neo"/>
    <n v="2038.61"/>
    <n v="4454964.43"/>
    <n v="18567602.870000001"/>
    <n v="23022568.829999998"/>
    <x v="1"/>
  </r>
  <r>
    <x v="7"/>
    <s v="2032-08"/>
    <s v="A321"/>
    <n v="4383.7"/>
    <n v="12953426.27"/>
    <n v="52858224.289999999"/>
    <n v="65811650.560000002"/>
    <x v="1"/>
  </r>
  <r>
    <x v="7"/>
    <s v="2032-08"/>
    <s v="A321Neo"/>
    <n v="442.63"/>
    <n v="1111738.8600000001"/>
    <n v="5008088.8"/>
    <n v="6119828.5599999996"/>
    <x v="1"/>
  </r>
  <r>
    <x v="7"/>
    <s v="2032-08"/>
    <s v="B38M"/>
    <n v="3669.51"/>
    <n v="8018935.9699999997"/>
    <n v="33421685.16"/>
    <n v="41440623.890000001"/>
    <x v="1"/>
  </r>
  <r>
    <x v="7"/>
    <s v="2032-09"/>
    <s v="A319"/>
    <n v="915.9"/>
    <n v="1987288.46"/>
    <n v="7752775.9800000004"/>
    <n v="9740064.4399999995"/>
    <x v="1"/>
  </r>
  <r>
    <x v="7"/>
    <s v="2032-09"/>
    <s v="A320"/>
    <n v="19065.349999999999"/>
    <n v="49015682.619999997"/>
    <n v="190783292.72999999"/>
    <n v="239798975.34999999"/>
    <x v="1"/>
  </r>
  <r>
    <x v="7"/>
    <s v="2032-09"/>
    <s v="A320Neo"/>
    <n v="1874.3"/>
    <n v="4095889.98"/>
    <n v="17071036.100000001"/>
    <n v="21166927.489999998"/>
    <x v="1"/>
  </r>
  <r>
    <x v="7"/>
    <s v="2032-09"/>
    <s v="A321"/>
    <n v="4030.37"/>
    <n v="11909367.57"/>
    <n v="48597800.240000002"/>
    <n v="60507167.810000002"/>
    <x v="1"/>
  </r>
  <r>
    <x v="7"/>
    <s v="2032-09"/>
    <s v="A321Neo"/>
    <n v="406.95"/>
    <n v="1022131.63"/>
    <n v="4604431.99"/>
    <n v="5626564.46"/>
    <x v="1"/>
  </r>
  <r>
    <x v="7"/>
    <s v="2032-09"/>
    <s v="B38M"/>
    <n v="3373.74"/>
    <n v="7372601.9699999997"/>
    <n v="30727864.98"/>
    <n v="38100469.490000002"/>
    <x v="1"/>
  </r>
  <r>
    <x v="7"/>
    <s v="2032-10"/>
    <s v="A319"/>
    <n v="888.33"/>
    <n v="1927471.4"/>
    <n v="7519418.6900000004"/>
    <n v="9446890.0999999996"/>
    <x v="1"/>
  </r>
  <r>
    <x v="7"/>
    <s v="2032-10"/>
    <s v="A320"/>
    <n v="18491.490000000002"/>
    <n v="47540318.609999999"/>
    <n v="185040746.88999999"/>
    <n v="232581065.5"/>
    <x v="1"/>
  </r>
  <r>
    <x v="7"/>
    <s v="2032-10"/>
    <s v="A320Neo"/>
    <n v="1817.88"/>
    <n v="3972604.37"/>
    <n v="16557200.710000001"/>
    <n v="20529806.440000001"/>
    <x v="1"/>
  </r>
  <r>
    <x v="7"/>
    <s v="2032-10"/>
    <s v="A321"/>
    <n v="3909.05"/>
    <n v="11550897.560000001"/>
    <n v="47135014.420000002"/>
    <n v="58685911.979999997"/>
    <x v="1"/>
  </r>
  <r>
    <x v="7"/>
    <s v="2032-10"/>
    <s v="A321Neo"/>
    <n v="394.7"/>
    <n v="991365.63"/>
    <n v="4465839.34"/>
    <n v="5457205.79"/>
    <x v="1"/>
  </r>
  <r>
    <x v="7"/>
    <s v="2032-10"/>
    <s v="B38M"/>
    <n v="3272.19"/>
    <n v="7150687.8600000003"/>
    <n v="29802961.280000001"/>
    <n v="36953651.600000001"/>
    <x v="1"/>
  </r>
  <r>
    <x v="7"/>
    <s v="2032-11"/>
    <s v="A319"/>
    <n v="723.65"/>
    <n v="1570148.39"/>
    <n v="6125436.2199999997"/>
    <n v="7695584.6100000003"/>
    <x v="1"/>
  </r>
  <r>
    <x v="7"/>
    <s v="2032-11"/>
    <s v="A320"/>
    <n v="15063.45"/>
    <n v="38727088.039999999"/>
    <n v="150737090.22"/>
    <n v="189464178.25999999"/>
    <x v="1"/>
  </r>
  <r>
    <x v="7"/>
    <s v="2032-11"/>
    <s v="A320Neo"/>
    <n v="1480.88"/>
    <n v="3236145.73"/>
    <n v="13487754.99"/>
    <n v="16723901.83"/>
    <x v="1"/>
  </r>
  <r>
    <x v="7"/>
    <s v="2032-11"/>
    <s v="A321"/>
    <n v="3184.38"/>
    <n v="9409542.0399999991"/>
    <n v="38396920.899999999"/>
    <n v="47806462.939999998"/>
    <x v="1"/>
  </r>
  <r>
    <x v="7"/>
    <s v="2032-11"/>
    <s v="A321Neo"/>
    <n v="321.52999999999997"/>
    <n v="807581.97"/>
    <n v="3637942.67"/>
    <n v="4445525.3"/>
    <x v="1"/>
  </r>
  <r>
    <x v="7"/>
    <s v="2032-11"/>
    <s v="B38M"/>
    <n v="2665.58"/>
    <n v="5825062.3099999996"/>
    <n v="24277958.989999998"/>
    <n v="30103023.300000001"/>
    <x v="1"/>
  </r>
  <r>
    <x v="7"/>
    <s v="2032-12"/>
    <s v="A319"/>
    <n v="760.59"/>
    <n v="1650299.3"/>
    <n v="6438119.5800000001"/>
    <n v="8088418.8799999999"/>
    <x v="1"/>
  </r>
  <r>
    <x v="7"/>
    <s v="2032-12"/>
    <s v="A320"/>
    <n v="15832.39"/>
    <n v="40703978.43"/>
    <n v="158431722.59999999"/>
    <n v="199135701.03"/>
    <x v="1"/>
  </r>
  <r>
    <x v="7"/>
    <s v="2032-12"/>
    <s v="A320Neo"/>
    <n v="1556.47"/>
    <n v="3401340.32"/>
    <n v="14176260.5"/>
    <n v="17577601.98"/>
    <x v="1"/>
  </r>
  <r>
    <x v="7"/>
    <s v="2032-12"/>
    <s v="A321"/>
    <n v="3346.93"/>
    <n v="9889868.1999999993"/>
    <n v="40356957.340000004"/>
    <n v="50246825.539999999"/>
    <x v="1"/>
  </r>
  <r>
    <x v="7"/>
    <s v="2032-12"/>
    <s v="A321Neo"/>
    <n v="337.95"/>
    <n v="848806.37"/>
    <n v="3823647.67"/>
    <n v="4672454.7300000004"/>
    <x v="1"/>
  </r>
  <r>
    <x v="7"/>
    <s v="2032-12"/>
    <s v="B38M"/>
    <n v="2801.65"/>
    <n v="6122412.5700000003"/>
    <n v="25517268.899999999"/>
    <n v="31639683.57"/>
    <x v="1"/>
  </r>
  <r>
    <x v="8"/>
    <s v="2033-01"/>
    <s v="A319"/>
    <n v="414.58"/>
    <n v="899537.41"/>
    <n v="3509260.04"/>
    <n v="4408797.4400000004"/>
    <x v="1"/>
  </r>
  <r>
    <x v="8"/>
    <s v="2033-01"/>
    <s v="A320"/>
    <n v="14383.08"/>
    <n v="36977889.560000002"/>
    <n v="143928701.02000001"/>
    <n v="180906590.58000001"/>
    <x v="1"/>
  </r>
  <r>
    <x v="8"/>
    <s v="2033-01"/>
    <s v="A320Neo"/>
    <n v="1413.99"/>
    <n v="3089977.73"/>
    <n v="12878549.35"/>
    <n v="15968528.140000001"/>
    <x v="1"/>
  </r>
  <r>
    <x v="8"/>
    <s v="2033-01"/>
    <s v="A321"/>
    <n v="3040.55"/>
    <n v="8984538.3200000003"/>
    <n v="36662635.189999998"/>
    <n v="45647173.509999998"/>
    <x v="1"/>
  </r>
  <r>
    <x v="8"/>
    <s v="2033-01"/>
    <s v="A321Neo"/>
    <n v="307.01"/>
    <n v="771105.66"/>
    <n v="3473626.57"/>
    <n v="4244732.87"/>
    <x v="1"/>
  </r>
  <r>
    <x v="8"/>
    <s v="2033-01"/>
    <s v="B38M"/>
    <n v="3676.37"/>
    <n v="8033942.0899999999"/>
    <n v="33484228.32"/>
    <n v="41518173.159999996"/>
    <x v="1"/>
  </r>
  <r>
    <x v="8"/>
    <s v="2033-02"/>
    <s v="A319"/>
    <n v="395.05"/>
    <n v="857166.33"/>
    <n v="3343962.7"/>
    <n v="4201129.03"/>
    <x v="1"/>
  </r>
  <r>
    <x v="8"/>
    <s v="2033-02"/>
    <s v="A320"/>
    <n v="13705.59"/>
    <n v="35236113.07"/>
    <n v="137149200.33000001"/>
    <n v="172385313.40000001"/>
    <x v="1"/>
  </r>
  <r>
    <x v="8"/>
    <s v="2033-02"/>
    <s v="A320Neo"/>
    <n v="1347.39"/>
    <n v="2944429.92"/>
    <n v="12271928.619999999"/>
    <n v="15216359.550000001"/>
    <x v="1"/>
  </r>
  <r>
    <x v="8"/>
    <s v="2033-02"/>
    <s v="A321"/>
    <n v="2897.33"/>
    <n v="8561337.9199999999"/>
    <n v="34935708.18"/>
    <n v="43497046.100000001"/>
    <x v="1"/>
  </r>
  <r>
    <x v="8"/>
    <s v="2033-02"/>
    <s v="A321Neo"/>
    <n v="292.55"/>
    <n v="734784.13"/>
    <n v="3310007.69"/>
    <n v="4044792.42"/>
    <x v="1"/>
  </r>
  <r>
    <x v="8"/>
    <s v="2033-02"/>
    <s v="B38M"/>
    <n v="3503.2"/>
    <n v="7655517.7999999998"/>
    <n v="31907014.41"/>
    <n v="39562534.840000004"/>
    <x v="1"/>
  </r>
  <r>
    <x v="8"/>
    <s v="2033-03"/>
    <s v="A319"/>
    <n v="491.55"/>
    <n v="1066554.7"/>
    <n v="4160825.09"/>
    <n v="5227379.79"/>
    <x v="1"/>
  </r>
  <r>
    <x v="8"/>
    <s v="2033-03"/>
    <s v="A320"/>
    <n v="17053.59"/>
    <n v="43843582.049999997"/>
    <n v="170651973.03999999"/>
    <n v="214495555.09"/>
    <x v="1"/>
  </r>
  <r>
    <x v="8"/>
    <s v="2033-03"/>
    <s v="A320Neo"/>
    <n v="1676.53"/>
    <n v="3663694.54"/>
    <n v="15269712.310000001"/>
    <n v="18933408.100000001"/>
    <x v="1"/>
  </r>
  <r>
    <x v="8"/>
    <s v="2033-03"/>
    <s v="A321"/>
    <n v="3605.08"/>
    <n v="10652699.43"/>
    <n v="43469794.329999998"/>
    <n v="54122493.759999998"/>
    <x v="1"/>
  </r>
  <r>
    <x v="8"/>
    <s v="2033-03"/>
    <s v="A321Neo"/>
    <n v="364.01"/>
    <n v="914277.01"/>
    <n v="4118575.55"/>
    <n v="5032853.3099999996"/>
    <x v="1"/>
  </r>
  <r>
    <x v="8"/>
    <s v="2033-03"/>
    <s v="B38M"/>
    <n v="4358.97"/>
    <n v="9525605.7899999991"/>
    <n v="39701251.990000002"/>
    <n v="49226861.060000002"/>
    <x v="1"/>
  </r>
  <r>
    <x v="8"/>
    <s v="2033-04"/>
    <s v="A319"/>
    <n v="521.12"/>
    <n v="1130697.24"/>
    <n v="4411056.8600000003"/>
    <n v="5541754.0999999996"/>
    <x v="1"/>
  </r>
  <r>
    <x v="8"/>
    <s v="2033-04"/>
    <s v="A320"/>
    <n v="18079.189999999999"/>
    <n v="46480332.490000002"/>
    <n v="180914972.63"/>
    <n v="227395305.12"/>
    <x v="1"/>
  </r>
  <r>
    <x v="8"/>
    <s v="2033-04"/>
    <s v="A320Neo"/>
    <n v="1777.35"/>
    <n v="3884028.91"/>
    <n v="16188031.9"/>
    <n v="20072062.140000001"/>
    <x v="1"/>
  </r>
  <r>
    <x v="8"/>
    <s v="2033-04"/>
    <s v="A321"/>
    <n v="3821.89"/>
    <n v="11293352.15"/>
    <n v="46084065.200000003"/>
    <n v="57377417.340000004"/>
    <x v="1"/>
  </r>
  <r>
    <x v="8"/>
    <s v="2033-04"/>
    <s v="A321Neo"/>
    <n v="385.9"/>
    <n v="969261.58"/>
    <n v="4366266.4400000004"/>
    <n v="5335528.8099999996"/>
    <x v="1"/>
  </r>
  <r>
    <x v="8"/>
    <s v="2033-04"/>
    <s v="B38M"/>
    <n v="4621.1099999999997"/>
    <n v="10098475.16"/>
    <n v="42088882.950000003"/>
    <n v="52187361.579999998"/>
    <x v="1"/>
  </r>
  <r>
    <x v="8"/>
    <s v="2033-05"/>
    <s v="A319"/>
    <n v="563.80999999999995"/>
    <n v="1223333.8700000001"/>
    <n v="4772449.29"/>
    <n v="5995783.1600000001"/>
    <x v="1"/>
  </r>
  <r>
    <x v="8"/>
    <s v="2033-05"/>
    <s v="A320"/>
    <n v="19560.400000000001"/>
    <n v="50288408.600000001"/>
    <n v="195737112.41999999"/>
    <n v="246025521.03"/>
    <x v="1"/>
  </r>
  <r>
    <x v="8"/>
    <s v="2033-05"/>
    <s v="A320Neo"/>
    <n v="1922.97"/>
    <n v="4202242.59"/>
    <n v="17514297.32"/>
    <n v="21716541.350000001"/>
    <x v="1"/>
  </r>
  <r>
    <x v="8"/>
    <s v="2033-05"/>
    <s v="A321"/>
    <n v="4135.0200000000004"/>
    <n v="12218602.51"/>
    <n v="49859675.619999997"/>
    <n v="62078278.130000003"/>
    <x v="1"/>
  </r>
  <r>
    <x v="8"/>
    <s v="2033-05"/>
    <s v="A321Neo"/>
    <n v="417.52"/>
    <n v="1048671.98"/>
    <n v="4723989.24"/>
    <n v="5772662.0800000001"/>
    <x v="1"/>
  </r>
  <r>
    <x v="8"/>
    <s v="2033-05"/>
    <s v="B38M"/>
    <n v="4999.72"/>
    <n v="10925830.74"/>
    <n v="45537173.030000001"/>
    <n v="56463007.520000003"/>
    <x v="1"/>
  </r>
  <r>
    <x v="8"/>
    <s v="2033-06"/>
    <s v="A319"/>
    <n v="576.91"/>
    <n v="1251766.28"/>
    <n v="4883369.34"/>
    <n v="6135135.6100000003"/>
    <x v="1"/>
  </r>
  <r>
    <x v="8"/>
    <s v="2033-06"/>
    <s v="A320"/>
    <n v="20015.009999999998"/>
    <n v="51457198.939999998"/>
    <n v="200286384.36000001"/>
    <n v="251743583.30000001"/>
    <x v="1"/>
  </r>
  <r>
    <x v="8"/>
    <s v="2033-06"/>
    <s v="A320Neo"/>
    <n v="1967.66"/>
    <n v="4299910.04"/>
    <n v="17921360.140000001"/>
    <n v="22221271.66"/>
    <x v="1"/>
  </r>
  <r>
    <x v="8"/>
    <s v="2033-06"/>
    <s v="A321"/>
    <n v="4231.12"/>
    <n v="12502584.15"/>
    <n v="51018501.460000001"/>
    <n v="63521085.600000001"/>
    <x v="1"/>
  </r>
  <r>
    <x v="8"/>
    <s v="2033-06"/>
    <s v="A321Neo"/>
    <n v="427.22"/>
    <n v="1073044.95"/>
    <n v="4833782.99"/>
    <n v="5906828.8200000003"/>
    <x v="1"/>
  </r>
  <r>
    <x v="8"/>
    <s v="2033-06"/>
    <s v="B38M"/>
    <n v="5115.92"/>
    <n v="11179766.1"/>
    <n v="46595536.369999997"/>
    <n v="57775306.310000002"/>
    <x v="1"/>
  </r>
  <r>
    <x v="8"/>
    <s v="2033-07"/>
    <s v="A319"/>
    <n v="615.66"/>
    <n v="1335830.01"/>
    <n v="5211317.33"/>
    <n v="6547147.3300000001"/>
    <x v="1"/>
  </r>
  <r>
    <x v="8"/>
    <s v="2033-07"/>
    <s v="A320"/>
    <n v="21359.14"/>
    <n v="54912863.219999999"/>
    <n v="213736834.78999999"/>
    <n v="268649698.00999999"/>
    <x v="1"/>
  </r>
  <r>
    <x v="8"/>
    <s v="2033-07"/>
    <s v="A320Neo"/>
    <n v="2099.8000000000002"/>
    <n v="4588675.18"/>
    <n v="19124888.609999999"/>
    <n v="23713565.370000001"/>
    <x v="1"/>
  </r>
  <r>
    <x v="8"/>
    <s v="2033-07"/>
    <s v="A321"/>
    <n v="4515.2700000000004"/>
    <n v="13342208.810000001"/>
    <n v="54444704.530000001"/>
    <n v="67786913.340000004"/>
    <x v="1"/>
  </r>
  <r>
    <x v="8"/>
    <s v="2033-07"/>
    <s v="A321Neo"/>
    <n v="455.91"/>
    <n v="1145106.45"/>
    <n v="5158400.96"/>
    <n v="6303508.3499999996"/>
    <x v="1"/>
  </r>
  <r>
    <x v="8"/>
    <s v="2033-07"/>
    <s v="B38M"/>
    <n v="5459.48"/>
    <n v="11930555.48"/>
    <n v="49724710.399999999"/>
    <n v="61655269.969999999"/>
    <x v="1"/>
  </r>
  <r>
    <x v="8"/>
    <s v="2033-08"/>
    <s v="A319"/>
    <n v="622.45000000000005"/>
    <n v="1350570.46"/>
    <n v="5268822.51"/>
    <n v="6619392.9699999997"/>
    <x v="1"/>
  </r>
  <r>
    <x v="8"/>
    <s v="2033-08"/>
    <s v="A320"/>
    <n v="21594.83"/>
    <n v="55518808.75"/>
    <n v="216095351.03999999"/>
    <n v="271614159.79000002"/>
    <x v="1"/>
  </r>
  <r>
    <x v="8"/>
    <s v="2033-08"/>
    <s v="A320Neo"/>
    <n v="2122.9699999999998"/>
    <n v="4639309.72"/>
    <n v="19335925.52"/>
    <n v="23975236.829999998"/>
    <x v="1"/>
  </r>
  <r>
    <x v="8"/>
    <s v="2033-08"/>
    <s v="A321"/>
    <n v="4565.09"/>
    <n v="13489435.73"/>
    <n v="55045484.079999998"/>
    <n v="68534919.810000002"/>
    <x v="1"/>
  </r>
  <r>
    <x v="8"/>
    <s v="2033-08"/>
    <s v="A321Neo"/>
    <n v="460.95"/>
    <n v="1157742.33"/>
    <n v="5215322.2300000004"/>
    <n v="6373065.5"/>
    <x v="1"/>
  </r>
  <r>
    <x v="8"/>
    <s v="2033-08"/>
    <s v="B38M"/>
    <n v="5519.73"/>
    <n v="12062205.27"/>
    <n v="50273406.359999999"/>
    <n v="62335615.759999998"/>
    <x v="1"/>
  </r>
  <r>
    <x v="8"/>
    <s v="2033-09"/>
    <s v="A319"/>
    <n v="572.28"/>
    <n v="1241713.17"/>
    <n v="4844150.32"/>
    <n v="6085863.4900000002"/>
    <x v="1"/>
  </r>
  <r>
    <x v="8"/>
    <s v="2033-09"/>
    <s v="A320"/>
    <n v="19854.27"/>
    <n v="51043939.020000003"/>
    <n v="198677856.53999999"/>
    <n v="249721795.56"/>
    <x v="1"/>
  </r>
  <r>
    <x v="8"/>
    <s v="2033-09"/>
    <s v="A320Neo"/>
    <n v="1951.86"/>
    <n v="4265376.8600000003"/>
    <n v="17777431.210000001"/>
    <n v="22042809.530000001"/>
    <x v="1"/>
  </r>
  <r>
    <x v="8"/>
    <s v="2033-09"/>
    <s v="A321"/>
    <n v="4197.1400000000003"/>
    <n v="12402174.15"/>
    <n v="50608764.770000003"/>
    <n v="63010938.93"/>
    <x v="1"/>
  </r>
  <r>
    <x v="8"/>
    <s v="2033-09"/>
    <s v="A321Neo"/>
    <n v="423.79"/>
    <n v="1064427.17"/>
    <n v="4794962.21"/>
    <n v="5859390.25"/>
    <x v="1"/>
  </r>
  <r>
    <x v="8"/>
    <s v="2033-09"/>
    <s v="B38M"/>
    <n v="5074.83"/>
    <n v="11089979.84"/>
    <n v="46221321.130000003"/>
    <n v="57311304.780000001"/>
    <x v="1"/>
  </r>
  <r>
    <x v="8"/>
    <s v="2033-10"/>
    <s v="A319"/>
    <n v="555.05999999999995"/>
    <n v="1204337.81"/>
    <n v="4698342.1900000004"/>
    <n v="5902679.9900000002"/>
    <x v="1"/>
  </r>
  <r>
    <x v="8"/>
    <s v="2033-10"/>
    <s v="A320"/>
    <n v="19256.66"/>
    <n v="49507524.82"/>
    <n v="192697685.62"/>
    <n v="242205210.44"/>
    <x v="1"/>
  </r>
  <r>
    <x v="8"/>
    <s v="2033-10"/>
    <s v="A320Neo"/>
    <n v="1893.11"/>
    <n v="4136989.72"/>
    <n v="17242333.440000001"/>
    <n v="21379324.579999998"/>
    <x v="1"/>
  </r>
  <r>
    <x v="8"/>
    <s v="2033-10"/>
    <s v="A321"/>
    <n v="4070.81"/>
    <n v="12028870.74"/>
    <n v="49085449.25"/>
    <n v="61114319.990000002"/>
    <x v="1"/>
  </r>
  <r>
    <x v="8"/>
    <s v="2033-10"/>
    <s v="A321Neo"/>
    <n v="411.04"/>
    <n v="1032388.09"/>
    <n v="4650634.63"/>
    <n v="5683023.5700000003"/>
    <x v="1"/>
  </r>
  <r>
    <x v="8"/>
    <s v="2033-10"/>
    <s v="B38M"/>
    <n v="4922.08"/>
    <n v="10756173.27"/>
    <n v="44830066.939999998"/>
    <n v="55586243.899999999"/>
    <x v="1"/>
  </r>
  <r>
    <x v="8"/>
    <s v="2033-11"/>
    <s v="A319"/>
    <n v="452.16"/>
    <n v="981072.44"/>
    <n v="3827343.12"/>
    <n v="4808415.5599999996"/>
    <x v="1"/>
  </r>
  <r>
    <x v="8"/>
    <s v="2033-11"/>
    <s v="A320"/>
    <n v="15686.78"/>
    <n v="40329605.020000003"/>
    <n v="156974552.41999999"/>
    <n v="197304157.44999999"/>
    <x v="1"/>
  </r>
  <r>
    <x v="8"/>
    <s v="2033-11"/>
    <s v="A320Neo"/>
    <n v="1542.16"/>
    <n v="3370056.61"/>
    <n v="14045874.84"/>
    <n v="17415932.609999999"/>
    <x v="1"/>
  </r>
  <r>
    <x v="8"/>
    <s v="2033-11"/>
    <s v="A321"/>
    <n v="3316.14"/>
    <n v="9798906.4800000004"/>
    <n v="39985775.649999999"/>
    <n v="49784682.140000001"/>
    <x v="1"/>
  </r>
  <r>
    <x v="8"/>
    <s v="2033-11"/>
    <s v="A321Neo"/>
    <n v="334.84"/>
    <n v="840999.51"/>
    <n v="3788479.8"/>
    <n v="4629480"/>
    <x v="1"/>
  </r>
  <r>
    <x v="8"/>
    <s v="2033-11"/>
    <s v="B38M"/>
    <n v="4009.6"/>
    <n v="8762147.1899999995"/>
    <n v="36519274.590000004"/>
    <n v="45281424.789999999"/>
    <x v="1"/>
  </r>
  <r>
    <x v="8"/>
    <s v="2033-12"/>
    <s v="A319"/>
    <n v="475.24"/>
    <n v="1031152.96"/>
    <n v="4022716.39"/>
    <n v="5053869.3499999996"/>
    <x v="1"/>
  </r>
  <r>
    <x v="8"/>
    <s v="2033-12"/>
    <s v="A320"/>
    <n v="16487.54"/>
    <n v="42388298.640000001"/>
    <n v="164987586.72"/>
    <n v="207375885.36000001"/>
    <x v="1"/>
  </r>
  <r>
    <x v="8"/>
    <s v="2033-12"/>
    <s v="A320Neo"/>
    <n v="1620.88"/>
    <n v="3542086.91"/>
    <n v="14762870.529999999"/>
    <n v="18304958.649999999"/>
    <x v="1"/>
  </r>
  <r>
    <x v="8"/>
    <s v="2033-12"/>
    <s v="A321"/>
    <n v="3485.42"/>
    <n v="10299108.41"/>
    <n v="42026917.909999996"/>
    <n v="52326026.32"/>
    <x v="1"/>
  </r>
  <r>
    <x v="8"/>
    <s v="2033-12"/>
    <s v="A321Neo"/>
    <n v="351.93"/>
    <n v="883929.76"/>
    <n v="3981869.23"/>
    <n v="4865799.72"/>
    <x v="1"/>
  </r>
  <r>
    <x v="8"/>
    <s v="2033-12"/>
    <s v="B38M"/>
    <n v="4214.28"/>
    <n v="9209425.9700000007"/>
    <n v="38383463.369999997"/>
    <n v="47592892.5"/>
    <x v="1"/>
  </r>
  <r>
    <x v="9"/>
    <s v="2034-01"/>
    <s v="A319"/>
    <n v="143.91"/>
    <n v="312253.34000000003"/>
    <n v="1218157.44"/>
    <n v="1530410.78"/>
    <x v="1"/>
  </r>
  <r>
    <x v="9"/>
    <s v="2034-01"/>
    <s v="A320"/>
    <n v="14978.25"/>
    <n v="38508025.170000002"/>
    <n v="149884433.81999999"/>
    <n v="188392458.99000001"/>
    <x v="1"/>
  </r>
  <r>
    <x v="9"/>
    <s v="2034-01"/>
    <s v="A320Neo"/>
    <n v="1472.5"/>
    <n v="3217840.21"/>
    <n v="13411460.43"/>
    <n v="16629301.75"/>
    <x v="1"/>
  </r>
  <r>
    <x v="9"/>
    <s v="2034-01"/>
    <s v="A321"/>
    <n v="3166.36"/>
    <n v="9356316.2200000007"/>
    <n v="38179725.640000001"/>
    <n v="47536041.859999999"/>
    <x v="1"/>
  </r>
  <r>
    <x v="9"/>
    <s v="2034-01"/>
    <s v="A321Neo"/>
    <n v="319.70999999999998"/>
    <n v="803013.82"/>
    <n v="3617364.35"/>
    <n v="4420378.83"/>
    <x v="1"/>
  </r>
  <r>
    <x v="9"/>
    <s v="2034-01"/>
    <s v="B38M"/>
    <n v="5448.25"/>
    <n v="11906008.789999999"/>
    <n v="49622403.590000004"/>
    <n v="61528416.460000001"/>
    <x v="1"/>
  </r>
  <r>
    <x v="9"/>
    <s v="2034-02"/>
    <s v="A319"/>
    <n v="137.13"/>
    <n v="297545.21999999997"/>
    <n v="1160778.3400000001"/>
    <n v="1458323.56"/>
    <x v="1"/>
  </r>
  <r>
    <x v="9"/>
    <s v="2034-02"/>
    <s v="A320"/>
    <n v="14272.72"/>
    <n v="36694174.409999996"/>
    <n v="142824399.12"/>
    <n v="179518573.53"/>
    <x v="1"/>
  </r>
  <r>
    <x v="9"/>
    <s v="2034-02"/>
    <s v="A320Neo"/>
    <n v="1403.14"/>
    <n v="3066269.68"/>
    <n v="12779737.880000001"/>
    <n v="15846008.619999999"/>
    <x v="1"/>
  </r>
  <r>
    <x v="9"/>
    <s v="2034-02"/>
    <s v="A321"/>
    <n v="3017.22"/>
    <n v="8915603.8900000006"/>
    <n v="36381338.840000004"/>
    <n v="45296942.729999997"/>
    <x v="1"/>
  </r>
  <r>
    <x v="9"/>
    <s v="2034-02"/>
    <s v="A321Neo"/>
    <n v="304.64999999999998"/>
    <n v="765189.31"/>
    <n v="3446974.96"/>
    <n v="4212164.8899999997"/>
    <x v="1"/>
  </r>
  <r>
    <x v="9"/>
    <s v="2034-02"/>
    <s v="B38M"/>
    <n v="5191.62"/>
    <n v="11345197.810000001"/>
    <n v="47285030.170000002"/>
    <n v="58630231.880000003"/>
    <x v="1"/>
  </r>
  <r>
    <x v="9"/>
    <s v="2034-03"/>
    <s v="A319"/>
    <n v="170.63"/>
    <n v="370229.49"/>
    <n v="1444332.99"/>
    <n v="1814562.48"/>
    <x v="1"/>
  </r>
  <r>
    <x v="9"/>
    <s v="2034-03"/>
    <s v="A320"/>
    <n v="17759.259999999998"/>
    <n v="45657818.25"/>
    <n v="177713507.99000001"/>
    <n v="223371326.24000001"/>
    <x v="1"/>
  </r>
  <r>
    <x v="9"/>
    <s v="2034-03"/>
    <s v="A320Neo"/>
    <n v="1745.9"/>
    <n v="3815297.28"/>
    <n v="15901569.09"/>
    <n v="19716867.68"/>
    <x v="1"/>
  </r>
  <r>
    <x v="9"/>
    <s v="2034-03"/>
    <s v="A321"/>
    <n v="3754.26"/>
    <n v="11093505.41"/>
    <n v="45268563.289999999"/>
    <n v="56362068.689999998"/>
    <x v="1"/>
  </r>
  <r>
    <x v="9"/>
    <s v="2034-03"/>
    <s v="A321Neo"/>
    <n v="379.07"/>
    <n v="952109.56"/>
    <n v="4289001.1500000004"/>
    <n v="5241111.49"/>
    <x v="1"/>
  </r>
  <r>
    <x v="9"/>
    <s v="2034-03"/>
    <s v="B38M"/>
    <n v="6459.83"/>
    <n v="14116599.93"/>
    <n v="58835805.640000001"/>
    <n v="72952410.409999996"/>
    <x v="1"/>
  </r>
  <r>
    <x v="9"/>
    <s v="2034-04"/>
    <s v="A319"/>
    <n v="180.89"/>
    <n v="392495.07"/>
    <n v="1531195.09"/>
    <n v="1923690.16"/>
    <x v="1"/>
  </r>
  <r>
    <x v="9"/>
    <s v="2034-04"/>
    <s v="A320"/>
    <n v="18827.3"/>
    <n v="48403676.75"/>
    <n v="188401187.88"/>
    <n v="236804864.63"/>
    <x v="1"/>
  </r>
  <r>
    <x v="9"/>
    <s v="2034-04"/>
    <s v="A320Neo"/>
    <n v="1850.9"/>
    <n v="4044749.03"/>
    <n v="16857888.52"/>
    <n v="20902638.940000001"/>
    <x v="1"/>
  </r>
  <r>
    <x v="9"/>
    <s v="2034-04"/>
    <s v="A321"/>
    <n v="3980.04"/>
    <n v="11760668.17"/>
    <n v="47991012.009999998"/>
    <n v="59751680.18"/>
    <x v="1"/>
  </r>
  <r>
    <x v="9"/>
    <s v="2034-04"/>
    <s v="A321Neo"/>
    <n v="401.87"/>
    <n v="1009369.38"/>
    <n v="4546941.42"/>
    <n v="5556311.6299999999"/>
    <x v="1"/>
  </r>
  <r>
    <x v="9"/>
    <s v="2034-04"/>
    <s v="B38M"/>
    <n v="6848.32"/>
    <n v="14965571.41"/>
    <n v="62374187.520000003"/>
    <n v="77339764.069999993"/>
    <x v="1"/>
  </r>
  <r>
    <x v="9"/>
    <s v="2034-05"/>
    <s v="A319"/>
    <n v="195.71"/>
    <n v="424651.7"/>
    <n v="1656644.01"/>
    <n v="2081295.71"/>
    <x v="1"/>
  </r>
  <r>
    <x v="9"/>
    <s v="2034-05"/>
    <s v="A320"/>
    <n v="20369.8"/>
    <n v="52369330.079999998"/>
    <n v="203836664.03"/>
    <n v="256205994.09999999"/>
    <x v="1"/>
  </r>
  <r>
    <x v="9"/>
    <s v="2034-05"/>
    <s v="A320Neo"/>
    <n v="2002.54"/>
    <n v="4376130.3099999996"/>
    <n v="18239034.460000001"/>
    <n v="22615166.280000001"/>
    <x v="1"/>
  </r>
  <r>
    <x v="9"/>
    <s v="2034-05"/>
    <s v="A321"/>
    <n v="4306.12"/>
    <n v="12724205.15"/>
    <n v="51922856.229999997"/>
    <n v="64647061.390000001"/>
    <x v="1"/>
  </r>
  <r>
    <x v="9"/>
    <s v="2034-05"/>
    <s v="A321Neo"/>
    <n v="434.8"/>
    <n v="1092065.76"/>
    <n v="4919466.71"/>
    <n v="6011533.3600000003"/>
    <x v="1"/>
  </r>
  <r>
    <x v="9"/>
    <s v="2034-05"/>
    <s v="B38M"/>
    <n v="7409.4"/>
    <n v="16191682.16"/>
    <n v="67484427.5"/>
    <n v="83676115.219999999"/>
    <x v="1"/>
  </r>
  <r>
    <x v="9"/>
    <s v="2034-06"/>
    <s v="A319"/>
    <n v="200.26"/>
    <n v="434521.35"/>
    <n v="1695147.3"/>
    <n v="2129668.65"/>
    <x v="1"/>
  </r>
  <r>
    <x v="9"/>
    <s v="2034-06"/>
    <s v="A320"/>
    <n v="20843.23"/>
    <n v="53586484.659999996"/>
    <n v="208574183.66999999"/>
    <n v="262160668.33000001"/>
    <x v="1"/>
  </r>
  <r>
    <x v="9"/>
    <s v="2034-06"/>
    <s v="A320Neo"/>
    <n v="2049.08"/>
    <n v="4477839.22"/>
    <n v="18662941.440000001"/>
    <n v="23140782.190000001"/>
    <x v="1"/>
  </r>
  <r>
    <x v="9"/>
    <s v="2034-06"/>
    <s v="A321"/>
    <n v="4406.2"/>
    <n v="13019937.880000001"/>
    <n v="53129633.990000002"/>
    <n v="66149571.859999999"/>
    <x v="1"/>
  </r>
  <r>
    <x v="9"/>
    <s v="2034-06"/>
    <s v="A321Neo"/>
    <n v="444.9"/>
    <n v="1117447.27"/>
    <n v="5033803.6900000004"/>
    <n v="6151251.8799999999"/>
    <x v="1"/>
  </r>
  <r>
    <x v="9"/>
    <s v="2034-06"/>
    <s v="B38M"/>
    <n v="7581.6"/>
    <n v="16568005.1"/>
    <n v="69052883.319999993"/>
    <n v="85620894.099999994"/>
    <x v="1"/>
  </r>
  <r>
    <x v="9"/>
    <s v="2034-07"/>
    <s v="A319"/>
    <n v="213.71"/>
    <n v="463702.1"/>
    <n v="1808986.77"/>
    <n v="2272688.87"/>
    <x v="1"/>
  </r>
  <r>
    <x v="9"/>
    <s v="2034-07"/>
    <s v="A320"/>
    <n v="22242.98"/>
    <n v="57185143.439999998"/>
    <n v="222581210.28999999"/>
    <n v="279766353.73000002"/>
    <x v="1"/>
  </r>
  <r>
    <x v="9"/>
    <s v="2034-07"/>
    <s v="A320Neo"/>
    <n v="2186.69"/>
    <n v="4778553.3899999997"/>
    <n v="19916271.609999999"/>
    <n v="24694826.640000001"/>
    <x v="1"/>
  </r>
  <r>
    <x v="9"/>
    <s v="2034-07"/>
    <s v="A321"/>
    <n v="4702.1099999999997"/>
    <n v="13894306"/>
    <n v="56697612.460000001"/>
    <n v="70591918.459999993"/>
    <x v="1"/>
  </r>
  <r>
    <x v="9"/>
    <s v="2034-07"/>
    <s v="A321Neo"/>
    <n v="474.78"/>
    <n v="1192490.6599999999"/>
    <n v="5371854.2699999996"/>
    <n v="6564345.9100000001"/>
    <x v="1"/>
  </r>
  <r>
    <x v="9"/>
    <s v="2034-07"/>
    <s v="B38M"/>
    <n v="8090.76"/>
    <n v="17680647.539999999"/>
    <n v="73690204.959999993"/>
    <n v="91370858.560000002"/>
    <x v="1"/>
  </r>
  <r>
    <x v="9"/>
    <s v="2034-08"/>
    <s v="A319"/>
    <n v="216.07"/>
    <n v="468818.91"/>
    <n v="1828948.35"/>
    <n v="2297767.25"/>
    <x v="1"/>
  </r>
  <r>
    <x v="9"/>
    <s v="2034-08"/>
    <s v="A320"/>
    <n v="22488.42"/>
    <n v="57816162.850000001"/>
    <n v="225037321.34"/>
    <n v="282853484.19"/>
    <x v="1"/>
  </r>
  <r>
    <x v="9"/>
    <s v="2034-08"/>
    <s v="A320Neo"/>
    <n v="2210.8200000000002"/>
    <n v="4831283.17"/>
    <n v="20136041.170000002"/>
    <n v="24967325.989999998"/>
    <x v="1"/>
  </r>
  <r>
    <x v="9"/>
    <s v="2034-08"/>
    <s v="A321"/>
    <n v="4753.99"/>
    <n v="14047625.130000001"/>
    <n v="57323252.119999997"/>
    <n v="71370877.25"/>
    <x v="1"/>
  </r>
  <r>
    <x v="9"/>
    <s v="2034-08"/>
    <s v="A321Neo"/>
    <n v="480.02"/>
    <n v="1205649.4099999999"/>
    <n v="5431130.9299999997"/>
    <n v="6636781.3200000003"/>
    <x v="1"/>
  </r>
  <r>
    <x v="9"/>
    <s v="2034-08"/>
    <s v="B38M"/>
    <n v="8180.03"/>
    <n v="17875747.710000001"/>
    <n v="74503352.329999998"/>
    <n v="92379106.180000007"/>
    <x v="1"/>
  </r>
  <r>
    <x v="9"/>
    <s v="2034-09"/>
    <s v="A319"/>
    <n v="198.65"/>
    <n v="431031.65"/>
    <n v="1681533.34"/>
    <n v="2112564.9900000002"/>
    <x v="1"/>
  </r>
  <r>
    <x v="9"/>
    <s v="2034-09"/>
    <s v="A320"/>
    <n v="20675.830000000002"/>
    <n v="53156124.149999999"/>
    <n v="206899095.38"/>
    <n v="260055219.53"/>
    <x v="1"/>
  </r>
  <r>
    <x v="9"/>
    <s v="2034-09"/>
    <s v="A320Neo"/>
    <n v="2032.63"/>
    <n v="4441877.07"/>
    <n v="18513056.760000002"/>
    <n v="22954935.350000001"/>
    <x v="1"/>
  </r>
  <r>
    <x v="9"/>
    <s v="2034-09"/>
    <s v="A321"/>
    <n v="4370.82"/>
    <n v="12915372.939999999"/>
    <n v="52702942.5"/>
    <n v="65618315.450000003"/>
    <x v="1"/>
  </r>
  <r>
    <x v="9"/>
    <s v="2034-09"/>
    <s v="A321Neo"/>
    <n v="441.33"/>
    <n v="1108472.8999999999"/>
    <n v="4993376.5199999996"/>
    <n v="6101850.3200000003"/>
    <x v="1"/>
  </r>
  <r>
    <x v="9"/>
    <s v="2034-09"/>
    <s v="B38M"/>
    <n v="7520.72"/>
    <n v="16434945.140000001"/>
    <n v="68498310"/>
    <n v="84933260.790000007"/>
    <x v="1"/>
  </r>
  <r>
    <x v="9"/>
    <s v="2034-10"/>
    <s v="A319"/>
    <n v="192.67"/>
    <n v="418057.67"/>
    <n v="1630919.46"/>
    <n v="2048977.13"/>
    <x v="1"/>
  </r>
  <r>
    <x v="9"/>
    <s v="2034-10"/>
    <s v="A320"/>
    <n v="20053.5"/>
    <n v="51556133.520000003"/>
    <n v="200671466.52000001"/>
    <n v="252227600.03999999"/>
    <x v="1"/>
  </r>
  <r>
    <x v="9"/>
    <s v="2034-10"/>
    <s v="A320Neo"/>
    <n v="1971.44"/>
    <n v="4308177.29"/>
    <n v="17955816.780000001"/>
    <n v="22263995.559999999"/>
    <x v="1"/>
  </r>
  <r>
    <x v="9"/>
    <s v="2034-10"/>
    <s v="A321"/>
    <n v="4239.26"/>
    <n v="12526622.34"/>
    <n v="51116592.57"/>
    <n v="63643214.909999996"/>
    <x v="1"/>
  </r>
  <r>
    <x v="9"/>
    <s v="2034-10"/>
    <s v="A321Neo"/>
    <n v="428.05"/>
    <n v="1075108.05"/>
    <n v="4843076.7"/>
    <n v="5918185.6299999999"/>
    <x v="1"/>
  </r>
  <r>
    <x v="9"/>
    <s v="2034-10"/>
    <s v="B38M"/>
    <n v="7294.34"/>
    <n v="15940255.99"/>
    <n v="66436522.100000001"/>
    <n v="82376783.560000002"/>
    <x v="1"/>
  </r>
  <r>
    <x v="9"/>
    <s v="2034-11"/>
    <s v="A319"/>
    <n v="156.96"/>
    <n v="340556.32"/>
    <n v="1328572.53"/>
    <n v="1669128.86"/>
    <x v="1"/>
  </r>
  <r>
    <x v="9"/>
    <s v="2034-11"/>
    <s v="A320"/>
    <n v="16335.89"/>
    <n v="41998433.759999998"/>
    <n v="163470119.22"/>
    <n v="205468552.97"/>
    <x v="1"/>
  </r>
  <r>
    <x v="9"/>
    <s v="2034-11"/>
    <s v="A320Neo"/>
    <n v="1605.97"/>
    <n v="3509508.69"/>
    <n v="14627089.550000001"/>
    <n v="18136599.440000001"/>
    <x v="1"/>
  </r>
  <r>
    <x v="9"/>
    <s v="2034-11"/>
    <s v="A321"/>
    <n v="3453.36"/>
    <n v="10204382.73"/>
    <n v="41640376.810000002"/>
    <n v="51844759.539999999"/>
    <x v="1"/>
  </r>
  <r>
    <x v="9"/>
    <s v="2034-11"/>
    <s v="A321Neo"/>
    <n v="348.69"/>
    <n v="875799.85"/>
    <n v="3945246.13"/>
    <n v="4821046.6900000004"/>
    <x v="1"/>
  </r>
  <r>
    <x v="9"/>
    <s v="2034-11"/>
    <s v="B38M"/>
    <n v="5942.09"/>
    <n v="12985182.16"/>
    <n v="54120231.32"/>
    <n v="67105417.939999998"/>
    <x v="1"/>
  </r>
  <r>
    <x v="9"/>
    <s v="2034-12"/>
    <s v="A319"/>
    <n v="164.97"/>
    <n v="357940.6"/>
    <n v="1396391.79"/>
    <n v="1754332.39"/>
    <x v="1"/>
  </r>
  <r>
    <x v="9"/>
    <s v="2034-12"/>
    <s v="A320"/>
    <n v="17169.79"/>
    <n v="44142315.579999998"/>
    <n v="171814730.81999999"/>
    <n v="215957046.40000001"/>
    <x v="1"/>
  </r>
  <r>
    <x v="9"/>
    <s v="2034-12"/>
    <s v="A320Neo"/>
    <n v="1687.95"/>
    <n v="3688657.56"/>
    <n v="15373754.33"/>
    <n v="19062413.16"/>
    <x v="1"/>
  </r>
  <r>
    <x v="9"/>
    <s v="2034-12"/>
    <s v="A321"/>
    <n v="3629.65"/>
    <n v="10725282.880000001"/>
    <n v="43765981.009999998"/>
    <n v="54491263.890000001"/>
    <x v="1"/>
  </r>
  <r>
    <x v="9"/>
    <s v="2034-12"/>
    <s v="A321Neo"/>
    <n v="366.49"/>
    <n v="920506.55"/>
    <n v="4146637.96"/>
    <n v="5067145.26"/>
    <x v="1"/>
  </r>
  <r>
    <x v="9"/>
    <s v="2034-12"/>
    <s v="B38M"/>
    <n v="6245.41"/>
    <n v="13648032.970000001"/>
    <n v="56882891.020000003"/>
    <n v="70530928.680000007"/>
    <x v="1"/>
  </r>
  <r>
    <x v="10"/>
    <s v="2035-01"/>
    <s v="A320"/>
    <n v="15282.93"/>
    <n v="39291346.530000001"/>
    <n v="152933348.40000001"/>
    <n v="192224694.94"/>
    <x v="1"/>
  </r>
  <r>
    <x v="10"/>
    <s v="2035-01"/>
    <s v="A320Neo"/>
    <n v="1533.43"/>
    <n v="3350993.62"/>
    <n v="13966423.23"/>
    <n v="17317417.989999998"/>
    <x v="1"/>
  </r>
  <r>
    <x v="10"/>
    <s v="2035-01"/>
    <s v="A321"/>
    <n v="3297.39"/>
    <n v="9743478.1899999995"/>
    <n v="39759592.920000002"/>
    <n v="49503071.100000001"/>
    <x v="1"/>
  </r>
  <r>
    <x v="10"/>
    <s v="2035-01"/>
    <s v="A321Neo"/>
    <n v="332.94"/>
    <n v="836242.33"/>
    <n v="3767049.96"/>
    <n v="4603292.97"/>
    <x v="1"/>
  </r>
  <r>
    <x v="10"/>
    <s v="2035-01"/>
    <s v="B38M"/>
    <n v="7667.16"/>
    <n v="16754968.08"/>
    <n v="69832116.140000001"/>
    <n v="86587089.969999999"/>
    <x v="1"/>
  </r>
  <r>
    <x v="10"/>
    <s v="2035-02"/>
    <s v="A320"/>
    <n v="14563.06"/>
    <n v="37440598.840000004"/>
    <n v="145729700.11000001"/>
    <n v="183170298.94999999"/>
    <x v="1"/>
  </r>
  <r>
    <x v="10"/>
    <s v="2035-02"/>
    <s v="A320Neo"/>
    <n v="1461.2"/>
    <n v="3193151.13"/>
    <n v="13308560.17"/>
    <n v="16501712.4"/>
    <x v="1"/>
  </r>
  <r>
    <x v="10"/>
    <s v="2035-02"/>
    <s v="A321"/>
    <n v="3142.07"/>
    <n v="9284529.3000000007"/>
    <n v="37886789.329999998"/>
    <n v="47171318.630000003"/>
    <x v="1"/>
  </r>
  <r>
    <x v="10"/>
    <s v="2035-02"/>
    <s v="A321Neo"/>
    <n v="317.26"/>
    <n v="796852.65"/>
    <n v="3589609.9"/>
    <n v="4386463.2"/>
    <x v="1"/>
  </r>
  <r>
    <x v="10"/>
    <s v="2035-02"/>
    <s v="B38M"/>
    <n v="7306.01"/>
    <n v="15965755.67"/>
    <n v="66542800.829999998"/>
    <n v="82508561.980000004"/>
    <x v="1"/>
  </r>
  <r>
    <x v="10"/>
    <s v="2035-03"/>
    <s v="A320"/>
    <n v="18120.52"/>
    <n v="46586579.060000002"/>
    <n v="181328515.18000001"/>
    <n v="227915094.25"/>
    <x v="1"/>
  </r>
  <r>
    <x v="10"/>
    <s v="2035-03"/>
    <s v="A320Neo"/>
    <n v="1818.14"/>
    <n v="3973173.3"/>
    <n v="16559571.949999999"/>
    <n v="20532746.620000001"/>
    <x v="1"/>
  </r>
  <r>
    <x v="10"/>
    <s v="2035-03"/>
    <s v="A321"/>
    <n v="3909.61"/>
    <n v="11552551.82"/>
    <n v="47141764.850000001"/>
    <n v="58694316.670000002"/>
    <x v="1"/>
  </r>
  <r>
    <x v="10"/>
    <s v="2035-03"/>
    <s v="A321Neo"/>
    <n v="394.76"/>
    <n v="991507.61"/>
    <n v="4466478.92"/>
    <n v="5457987.3399999999"/>
    <x v="1"/>
  </r>
  <r>
    <x v="10"/>
    <s v="2035-03"/>
    <s v="B38M"/>
    <n v="9090.7199999999993"/>
    <n v="19865866.510000002"/>
    <n v="82797859.75"/>
    <n v="102663733.08"/>
    <x v="1"/>
  </r>
  <r>
    <x v="10"/>
    <s v="2035-04"/>
    <s v="A320"/>
    <n v="19210.28"/>
    <n v="49388293.18"/>
    <n v="192233601.38999999"/>
    <n v="241621894.56999999"/>
    <x v="1"/>
  </r>
  <r>
    <x v="10"/>
    <s v="2035-04"/>
    <s v="A320Neo"/>
    <n v="1927.49"/>
    <n v="4212119.71"/>
    <n v="17555463.629999999"/>
    <n v="21767584.789999999"/>
    <x v="1"/>
  </r>
  <r>
    <x v="10"/>
    <s v="2035-04"/>
    <s v="A321"/>
    <n v="4144.74"/>
    <n v="12247321.6"/>
    <n v="49976867.810000002"/>
    <n v="62224189.409999996"/>
    <x v="1"/>
  </r>
  <r>
    <x v="10"/>
    <s v="2035-04"/>
    <s v="A321Neo"/>
    <n v="418.5"/>
    <n v="1051136.82"/>
    <n v="4735092.7"/>
    <n v="5786230.3799999999"/>
    <x v="1"/>
  </r>
  <r>
    <x v="10"/>
    <s v="2035-04"/>
    <s v="B38M"/>
    <n v="9637.44"/>
    <n v="21060598.550000001"/>
    <n v="87777318.150000006"/>
    <n v="108837923.93000001"/>
    <x v="1"/>
  </r>
  <r>
    <x v="10"/>
    <s v="2035-05"/>
    <s v="A320"/>
    <n v="20784.16"/>
    <n v="53434614.909999996"/>
    <n v="207983062.43000001"/>
    <n v="261417677.34999999"/>
    <x v="1"/>
  </r>
  <r>
    <x v="10"/>
    <s v="2035-05"/>
    <s v="A320Neo"/>
    <n v="2085.4"/>
    <n v="4557213.47"/>
    <n v="18993761.039999999"/>
    <n v="23550976.07"/>
    <x v="1"/>
  </r>
  <r>
    <x v="10"/>
    <s v="2035-05"/>
    <s v="A321"/>
    <n v="4484.3100000000004"/>
    <n v="13250729.51"/>
    <n v="54071410.729999997"/>
    <n v="67322140.239999995"/>
    <x v="1"/>
  </r>
  <r>
    <x v="10"/>
    <s v="2035-05"/>
    <s v="A321Neo"/>
    <n v="452.79"/>
    <n v="1137255.1599999999"/>
    <n v="5123032.9800000004"/>
    <n v="6260289.0700000003"/>
    <x v="1"/>
  </r>
  <r>
    <x v="10"/>
    <s v="2035-05"/>
    <s v="B38M"/>
    <n v="10427.02"/>
    <n v="22786067.329999998"/>
    <n v="94968805.189999998"/>
    <n v="117754880.33"/>
    <x v="1"/>
  </r>
  <r>
    <x v="10"/>
    <s v="2035-06"/>
    <s v="A320"/>
    <n v="21267.22"/>
    <n v="54676528.57"/>
    <n v="212816951.61000001"/>
    <n v="267493480.18000001"/>
    <x v="1"/>
  </r>
  <r>
    <x v="10"/>
    <s v="2035-06"/>
    <s v="A320Neo"/>
    <n v="2133.87"/>
    <n v="4663131.0599999996"/>
    <n v="19435209.18"/>
    <n v="24098341.829999998"/>
    <x v="1"/>
  </r>
  <r>
    <x v="10"/>
    <s v="2035-06"/>
    <s v="A321"/>
    <n v="4588.53"/>
    <n v="13558699.57"/>
    <n v="55328124.640000001"/>
    <n v="68886824.209999993"/>
    <x v="1"/>
  </r>
  <r>
    <x v="10"/>
    <s v="2035-06"/>
    <s v="A321Neo"/>
    <n v="463.31"/>
    <n v="1163686.95"/>
    <n v="5242101.2"/>
    <n v="6405789.1100000003"/>
    <x v="1"/>
  </r>
  <r>
    <x v="10"/>
    <s v="2035-06"/>
    <s v="B38M"/>
    <n v="10669.36"/>
    <n v="23315655.280000001"/>
    <n v="97176045.879999995"/>
    <n v="120491709.16"/>
    <x v="1"/>
  </r>
  <r>
    <x v="10"/>
    <s v="2035-07"/>
    <s v="A320"/>
    <n v="22695.439999999999"/>
    <n v="58348390.439999998"/>
    <n v="227108905.94"/>
    <n v="285457296.38"/>
    <x v="1"/>
  </r>
  <r>
    <x v="10"/>
    <s v="2035-07"/>
    <s v="A320Neo"/>
    <n v="2277.1799999999998"/>
    <n v="4976288.7"/>
    <n v="20740401.829999998"/>
    <n v="25716692.239999998"/>
    <x v="1"/>
  </r>
  <r>
    <x v="10"/>
    <s v="2035-07"/>
    <s v="A321"/>
    <n v="4896.68"/>
    <n v="14469248.82"/>
    <n v="59043745.149999999"/>
    <n v="73512993.969999999"/>
    <x v="1"/>
  </r>
  <r>
    <x v="10"/>
    <s v="2035-07"/>
    <s v="A321Neo"/>
    <n v="494.43"/>
    <n v="1241835.6200000001"/>
    <n v="5594140.2199999997"/>
    <n v="6835976.8600000003"/>
    <x v="1"/>
  </r>
  <r>
    <x v="10"/>
    <s v="2035-07"/>
    <s v="B38M"/>
    <n v="11385.88"/>
    <n v="24881443.52"/>
    <n v="103702009.15000001"/>
    <n v="128583461.20999999"/>
    <x v="1"/>
  </r>
  <r>
    <x v="10"/>
    <s v="2035-08"/>
    <s v="A320"/>
    <n v="22945.88"/>
    <n v="58992245.899999999"/>
    <n v="229614978.63"/>
    <n v="288607224.52999997"/>
    <x v="1"/>
  </r>
  <r>
    <x v="10"/>
    <s v="2035-08"/>
    <s v="A320Neo"/>
    <n v="2302.3000000000002"/>
    <n v="5031200.43"/>
    <n v="20969265.399999999"/>
    <n v="26000467.550000001"/>
    <x v="1"/>
  </r>
  <r>
    <x v="10"/>
    <s v="2035-08"/>
    <s v="A321"/>
    <n v="4950.71"/>
    <n v="14628912.26"/>
    <n v="59695273.619999997"/>
    <n v="74324185.879999995"/>
    <x v="1"/>
  </r>
  <r>
    <x v="10"/>
    <s v="2035-08"/>
    <s v="A321Neo"/>
    <n v="499.88"/>
    <n v="1255538.8700000001"/>
    <n v="5655869.7300000004"/>
    <n v="6911409.6299999999"/>
    <x v="1"/>
  </r>
  <r>
    <x v="10"/>
    <s v="2035-08"/>
    <s v="B38M"/>
    <n v="11511.52"/>
    <n v="25156002.129999999"/>
    <n v="104846327"/>
    <n v="130002337.76000001"/>
    <x v="1"/>
  </r>
  <r>
    <x v="10"/>
    <s v="2035-09"/>
    <s v="A320"/>
    <n v="21096.42"/>
    <n v="54237413.770000003"/>
    <n v="211107789.06"/>
    <n v="265345202.81999999"/>
    <x v="1"/>
  </r>
  <r>
    <x v="10"/>
    <s v="2035-09"/>
    <s v="A320Neo"/>
    <n v="2116.7399999999998"/>
    <n v="4625680.8"/>
    <n v="19279122.309999999"/>
    <n v="23904804.699999999"/>
    <x v="1"/>
  </r>
  <r>
    <x v="10"/>
    <s v="2035-09"/>
    <s v="A321"/>
    <n v="4551.68"/>
    <n v="13449807.77"/>
    <n v="54883776.770000003"/>
    <n v="68333584.540000007"/>
    <x v="1"/>
  </r>
  <r>
    <x v="10"/>
    <s v="2035-09"/>
    <s v="A321Neo"/>
    <n v="459.59"/>
    <n v="1154341.22"/>
    <n v="5200001.16"/>
    <n v="6354343.3300000001"/>
    <x v="1"/>
  </r>
  <r>
    <x v="10"/>
    <s v="2035-09"/>
    <s v="B38M"/>
    <n v="10583.68"/>
    <n v="23128404.010000002"/>
    <n v="96395611.540000007"/>
    <n v="119524023.48"/>
    <x v="1"/>
  </r>
  <r>
    <x v="10"/>
    <s v="2035-10"/>
    <s v="A320"/>
    <n v="20461.419999999998"/>
    <n v="52604876.5"/>
    <n v="204753479.21000001"/>
    <n v="257358355.71000001"/>
    <x v="1"/>
  </r>
  <r>
    <x v="10"/>
    <s v="2035-10"/>
    <s v="A320Neo"/>
    <n v="2053.02"/>
    <n v="4486448.57"/>
    <n v="18698823.890000001"/>
    <n v="23185273.989999998"/>
    <x v="1"/>
  </r>
  <r>
    <x v="10"/>
    <s v="2035-10"/>
    <s v="A321"/>
    <n v="4414.68"/>
    <n v="13044970.76"/>
    <n v="53231784.090000004"/>
    <n v="66276754.850000001"/>
    <x v="1"/>
  </r>
  <r>
    <x v="10"/>
    <s v="2035-10"/>
    <s v="A321Neo"/>
    <n v="445.76"/>
    <n v="1119595.74"/>
    <n v="5043481.9800000004"/>
    <n v="6163078.6299999999"/>
    <x v="1"/>
  </r>
  <r>
    <x v="10"/>
    <s v="2035-10"/>
    <s v="B38M"/>
    <n v="10265.11"/>
    <n v="22432242.84"/>
    <n v="93494119.430000007"/>
    <n v="115926369.95999999"/>
    <x v="1"/>
  </r>
  <r>
    <x v="10"/>
    <s v="2035-11"/>
    <s v="A320"/>
    <n v="16668.189999999999"/>
    <n v="42852756.210000001"/>
    <n v="166795390.68000001"/>
    <n v="209648146.88999999"/>
    <x v="1"/>
  </r>
  <r>
    <x v="10"/>
    <s v="2035-11"/>
    <s v="A320Neo"/>
    <n v="1672.42"/>
    <n v="3654731.26"/>
    <n v="15232354.77"/>
    <n v="18887087.280000001"/>
    <x v="1"/>
  </r>
  <r>
    <x v="10"/>
    <s v="2035-11"/>
    <s v="A321"/>
    <n v="3596.26"/>
    <n v="10626637.470000001"/>
    <n v="43363444.950000003"/>
    <n v="53990082.420000002"/>
    <x v="1"/>
  </r>
  <r>
    <x v="10"/>
    <s v="2035-11"/>
    <s v="A321Neo"/>
    <n v="363.12"/>
    <n v="912040.22"/>
    <n v="4108499.4"/>
    <n v="5020540.37"/>
    <x v="1"/>
  </r>
  <r>
    <x v="10"/>
    <s v="2035-11"/>
    <s v="B38M"/>
    <n v="8362.1200000000008"/>
    <n v="18273656.309999999"/>
    <n v="76161773.840000004"/>
    <n v="94435436.420000002"/>
    <x v="1"/>
  </r>
  <r>
    <x v="10"/>
    <s v="2035-12"/>
    <s v="A320"/>
    <n v="17519.05"/>
    <n v="45040248.390000001"/>
    <n v="175309746.44999999"/>
    <n v="220349994.84"/>
    <x v="1"/>
  </r>
  <r>
    <x v="10"/>
    <s v="2035-12"/>
    <s v="A320Neo"/>
    <n v="1757.8"/>
    <n v="3841293.27"/>
    <n v="16009916.35"/>
    <n v="19851210.93"/>
    <x v="1"/>
  </r>
  <r>
    <x v="10"/>
    <s v="2035-12"/>
    <s v="A321"/>
    <n v="3779.84"/>
    <n v="11169092.34"/>
    <n v="45577006.100000001"/>
    <n v="56746098.439999998"/>
    <x v="1"/>
  </r>
  <r>
    <x v="10"/>
    <s v="2035-12"/>
    <s v="A321Neo"/>
    <n v="381.66"/>
    <n v="958596.88"/>
    <n v="4318224.7699999996"/>
    <n v="5276822.4400000004"/>
    <x v="1"/>
  </r>
  <r>
    <x v="10"/>
    <s v="2035-12"/>
    <s v="B38M"/>
    <n v="8788.98"/>
    <n v="19206466.329999998"/>
    <n v="80049581.739999995"/>
    <n v="99256054.65999999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DC74DA-A890-5E4C-A530-1C6D07620B69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8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3">
        <item x="1"/>
        <item x="0"/>
        <item t="default"/>
      </items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flights_c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93C58-09E4-0844-9440-D4C9330682DF}">
  <dimension ref="A3:B15"/>
  <sheetViews>
    <sheetView tabSelected="1" workbookViewId="0">
      <selection activeCell="A4" sqref="A4:B14"/>
      <pivotSelection pane="bottomRight" showHeader="1" extendable="1" axis="axisRow" max="12" activeRow="3" previousRow="13" click="1" r:id="rId1">
        <pivotArea dataOnly="0" axis="axisRow" fieldPosition="0">
          <references count="1">
            <reference field="0" count="1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</reference>
          </references>
        </pivotArea>
      </pivotSelection>
    </sheetView>
  </sheetViews>
  <sheetFormatPr baseColWidth="10" defaultRowHeight="16" x14ac:dyDescent="0.2"/>
  <cols>
    <col min="1" max="1" width="13" bestFit="1" customWidth="1"/>
    <col min="2" max="2" width="18.1640625" bestFit="1" customWidth="1"/>
  </cols>
  <sheetData>
    <row r="3" spans="1:2" x14ac:dyDescent="0.2">
      <c r="A3" s="1" t="s">
        <v>146</v>
      </c>
      <c r="B3" t="s">
        <v>160</v>
      </c>
    </row>
    <row r="4" spans="1:2" x14ac:dyDescent="0.2">
      <c r="A4" s="2" t="s">
        <v>149</v>
      </c>
      <c r="B4" s="3">
        <v>205498</v>
      </c>
    </row>
    <row r="5" spans="1:2" x14ac:dyDescent="0.2">
      <c r="A5" s="2" t="s">
        <v>150</v>
      </c>
      <c r="B5" s="3">
        <v>229400.68999999992</v>
      </c>
    </row>
    <row r="6" spans="1:2" x14ac:dyDescent="0.2">
      <c r="A6" s="2" t="s">
        <v>151</v>
      </c>
      <c r="B6" s="3">
        <v>241254.77000000002</v>
      </c>
    </row>
    <row r="7" spans="1:2" x14ac:dyDescent="0.2">
      <c r="A7" s="2" t="s">
        <v>152</v>
      </c>
      <c r="B7" s="3">
        <v>252980</v>
      </c>
    </row>
    <row r="8" spans="1:2" x14ac:dyDescent="0.2">
      <c r="A8" s="2" t="s">
        <v>153</v>
      </c>
      <c r="B8" s="3">
        <v>267076.68999999994</v>
      </c>
    </row>
    <row r="9" spans="1:2" x14ac:dyDescent="0.2">
      <c r="A9" s="2" t="s">
        <v>154</v>
      </c>
      <c r="B9" s="3">
        <v>281949.64999999997</v>
      </c>
    </row>
    <row r="10" spans="1:2" x14ac:dyDescent="0.2">
      <c r="A10" s="2" t="s">
        <v>155</v>
      </c>
      <c r="B10" s="3">
        <v>301531.11000000004</v>
      </c>
    </row>
    <row r="11" spans="1:2" x14ac:dyDescent="0.2">
      <c r="A11" s="2" t="s">
        <v>156</v>
      </c>
      <c r="B11" s="3">
        <v>324299.29000000015</v>
      </c>
    </row>
    <row r="12" spans="1:2" x14ac:dyDescent="0.2">
      <c r="A12" s="2" t="s">
        <v>157</v>
      </c>
      <c r="B12" s="3">
        <v>350617.44</v>
      </c>
    </row>
    <row r="13" spans="1:2" x14ac:dyDescent="0.2">
      <c r="A13" s="2" t="s">
        <v>158</v>
      </c>
      <c r="B13" s="3">
        <v>385224.20999999996</v>
      </c>
    </row>
    <row r="14" spans="1:2" x14ac:dyDescent="0.2">
      <c r="A14" s="2" t="s">
        <v>159</v>
      </c>
      <c r="B14" s="3">
        <v>424229.05999999994</v>
      </c>
    </row>
    <row r="15" spans="1:2" x14ac:dyDescent="0.2">
      <c r="A15" s="2" t="s">
        <v>147</v>
      </c>
      <c r="B15" s="3">
        <v>3264060.91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7B51A-A557-7546-BD9A-7B13ECD40022}">
  <dimension ref="A1:H749"/>
  <sheetViews>
    <sheetView workbookViewId="0">
      <selection sqref="A1:H749"/>
    </sheetView>
  </sheetViews>
  <sheetFormatPr baseColWidth="10" defaultRowHeight="16" x14ac:dyDescent="0.2"/>
  <sheetData>
    <row r="1" spans="1:8" x14ac:dyDescent="0.2">
      <c r="A1" t="s">
        <v>148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 t="str">
        <f>LEFT(B2,4)</f>
        <v>2025</v>
      </c>
      <c r="B2" s="3" t="s">
        <v>7</v>
      </c>
      <c r="C2" t="s">
        <v>8</v>
      </c>
      <c r="D2">
        <v>879</v>
      </c>
      <c r="E2">
        <v>1907219.04</v>
      </c>
      <c r="F2">
        <v>7189037.5999999996</v>
      </c>
      <c r="G2">
        <v>9096256.6400000006</v>
      </c>
      <c r="H2" t="s">
        <v>9</v>
      </c>
    </row>
    <row r="3" spans="1:8" x14ac:dyDescent="0.2">
      <c r="A3" t="str">
        <f t="shared" ref="A3:A66" si="0">LEFT(B3,4)</f>
        <v>2025</v>
      </c>
      <c r="B3" s="3" t="s">
        <v>7</v>
      </c>
      <c r="C3" t="s">
        <v>10</v>
      </c>
      <c r="D3">
        <v>9564</v>
      </c>
      <c r="E3">
        <v>24588374.52</v>
      </c>
      <c r="F3">
        <v>92287951.230000004</v>
      </c>
      <c r="G3">
        <v>116876325.75</v>
      </c>
      <c r="H3" t="s">
        <v>9</v>
      </c>
    </row>
    <row r="4" spans="1:8" x14ac:dyDescent="0.2">
      <c r="A4" t="str">
        <f t="shared" si="0"/>
        <v>2025</v>
      </c>
      <c r="B4" s="3" t="s">
        <v>7</v>
      </c>
      <c r="C4" t="s">
        <v>11</v>
      </c>
      <c r="D4">
        <v>1181</v>
      </c>
      <c r="E4">
        <v>2580827.48999999</v>
      </c>
      <c r="F4">
        <v>10960397.699999999</v>
      </c>
      <c r="G4">
        <v>13541225.810000001</v>
      </c>
      <c r="H4" t="s">
        <v>9</v>
      </c>
    </row>
    <row r="5" spans="1:8" x14ac:dyDescent="0.2">
      <c r="A5" t="str">
        <f t="shared" si="0"/>
        <v>2025</v>
      </c>
      <c r="B5" s="3" t="s">
        <v>7</v>
      </c>
      <c r="C5" t="s">
        <v>12</v>
      </c>
      <c r="D5">
        <v>2274</v>
      </c>
      <c r="E5">
        <v>6719465.3399999999</v>
      </c>
      <c r="F5">
        <v>28919129.27</v>
      </c>
      <c r="G5">
        <v>35638594.609999999</v>
      </c>
      <c r="H5" t="s">
        <v>9</v>
      </c>
    </row>
    <row r="6" spans="1:8" x14ac:dyDescent="0.2">
      <c r="A6" t="str">
        <f t="shared" si="0"/>
        <v>2025</v>
      </c>
      <c r="B6" s="3" t="s">
        <v>13</v>
      </c>
      <c r="C6" t="s">
        <v>8</v>
      </c>
      <c r="D6">
        <v>1082</v>
      </c>
      <c r="E6">
        <v>2347680.3199999998</v>
      </c>
      <c r="F6">
        <v>8794940.8300000001</v>
      </c>
      <c r="G6">
        <v>11142621.15</v>
      </c>
      <c r="H6" t="s">
        <v>9</v>
      </c>
    </row>
    <row r="7" spans="1:8" x14ac:dyDescent="0.2">
      <c r="A7" t="str">
        <f t="shared" si="0"/>
        <v>2025</v>
      </c>
      <c r="B7" s="3" t="s">
        <v>13</v>
      </c>
      <c r="C7" t="s">
        <v>10</v>
      </c>
      <c r="D7">
        <v>11644</v>
      </c>
      <c r="E7">
        <v>29935908.919999901</v>
      </c>
      <c r="F7">
        <v>114191227.84</v>
      </c>
      <c r="G7">
        <v>144127136.75999999</v>
      </c>
      <c r="H7" t="s">
        <v>9</v>
      </c>
    </row>
    <row r="8" spans="1:8" x14ac:dyDescent="0.2">
      <c r="A8" t="str">
        <f t="shared" si="0"/>
        <v>2025</v>
      </c>
      <c r="B8" s="3" t="s">
        <v>13</v>
      </c>
      <c r="C8" t="s">
        <v>11</v>
      </c>
      <c r="D8">
        <v>1705</v>
      </c>
      <c r="E8">
        <v>3725919.4499999899</v>
      </c>
      <c r="F8">
        <v>15430598.82</v>
      </c>
      <c r="G8">
        <v>19156519.34</v>
      </c>
      <c r="H8" t="s">
        <v>9</v>
      </c>
    </row>
    <row r="9" spans="1:8" x14ac:dyDescent="0.2">
      <c r="A9" t="str">
        <f t="shared" si="0"/>
        <v>2025</v>
      </c>
      <c r="B9" s="3" t="s">
        <v>13</v>
      </c>
      <c r="C9" t="s">
        <v>12</v>
      </c>
      <c r="D9">
        <v>2862</v>
      </c>
      <c r="E9">
        <v>8456952.4199999999</v>
      </c>
      <c r="F9">
        <v>35549516</v>
      </c>
      <c r="G9">
        <v>44006468.420000002</v>
      </c>
      <c r="H9" t="s">
        <v>9</v>
      </c>
    </row>
    <row r="10" spans="1:8" x14ac:dyDescent="0.2">
      <c r="A10" t="str">
        <f t="shared" si="0"/>
        <v>2025</v>
      </c>
      <c r="B10" s="3" t="s">
        <v>14</v>
      </c>
      <c r="C10" t="s">
        <v>8</v>
      </c>
      <c r="D10">
        <v>934</v>
      </c>
      <c r="E10">
        <v>2026555.84</v>
      </c>
      <c r="F10">
        <v>7925401.5199999996</v>
      </c>
      <c r="G10">
        <v>9951957.3599999994</v>
      </c>
      <c r="H10" t="s">
        <v>9</v>
      </c>
    </row>
    <row r="11" spans="1:8" x14ac:dyDescent="0.2">
      <c r="A11" t="str">
        <f t="shared" si="0"/>
        <v>2025</v>
      </c>
      <c r="B11" s="3" t="s">
        <v>14</v>
      </c>
      <c r="C11" t="s">
        <v>10</v>
      </c>
      <c r="D11">
        <v>12659</v>
      </c>
      <c r="E11">
        <v>32545402.8699999</v>
      </c>
      <c r="F11">
        <v>126116824.69</v>
      </c>
      <c r="G11">
        <v>158662227.56</v>
      </c>
      <c r="H11" t="s">
        <v>9</v>
      </c>
    </row>
    <row r="12" spans="1:8" x14ac:dyDescent="0.2">
      <c r="A12" t="str">
        <f t="shared" si="0"/>
        <v>2025</v>
      </c>
      <c r="B12" s="3" t="s">
        <v>14</v>
      </c>
      <c r="C12" t="s">
        <v>11</v>
      </c>
      <c r="D12">
        <v>1915</v>
      </c>
      <c r="E12">
        <v>4184830.35</v>
      </c>
      <c r="F12">
        <v>16434306.6</v>
      </c>
      <c r="G12">
        <v>20619137.98</v>
      </c>
      <c r="H12" t="s">
        <v>9</v>
      </c>
    </row>
    <row r="13" spans="1:8" x14ac:dyDescent="0.2">
      <c r="A13" t="str">
        <f t="shared" si="0"/>
        <v>2025</v>
      </c>
      <c r="B13" s="3" t="s">
        <v>14</v>
      </c>
      <c r="C13" t="s">
        <v>12</v>
      </c>
      <c r="D13">
        <v>2825</v>
      </c>
      <c r="E13">
        <v>8347620.75</v>
      </c>
      <c r="F13">
        <v>34563361.759999998</v>
      </c>
      <c r="G13">
        <v>42910982.509999998</v>
      </c>
      <c r="H13" t="s">
        <v>9</v>
      </c>
    </row>
    <row r="14" spans="1:8" x14ac:dyDescent="0.2">
      <c r="A14" t="str">
        <f t="shared" si="0"/>
        <v>2025</v>
      </c>
      <c r="B14" s="3" t="s">
        <v>15</v>
      </c>
      <c r="C14" t="s">
        <v>8</v>
      </c>
      <c r="D14">
        <v>1032</v>
      </c>
      <c r="E14">
        <v>2239192.3199999998</v>
      </c>
      <c r="F14">
        <v>8768220.2999999896</v>
      </c>
      <c r="G14">
        <v>11007412.619999999</v>
      </c>
      <c r="H14" t="s">
        <v>9</v>
      </c>
    </row>
    <row r="15" spans="1:8" x14ac:dyDescent="0.2">
      <c r="A15" t="str">
        <f t="shared" si="0"/>
        <v>2025</v>
      </c>
      <c r="B15" s="3" t="s">
        <v>15</v>
      </c>
      <c r="C15" t="s">
        <v>10</v>
      </c>
      <c r="D15">
        <v>13692</v>
      </c>
      <c r="E15">
        <v>35201173.559999898</v>
      </c>
      <c r="F15">
        <v>137120899.06999999</v>
      </c>
      <c r="G15">
        <v>172322072.63</v>
      </c>
      <c r="H15" t="s">
        <v>9</v>
      </c>
    </row>
    <row r="16" spans="1:8" x14ac:dyDescent="0.2">
      <c r="A16" t="str">
        <f t="shared" si="0"/>
        <v>2025</v>
      </c>
      <c r="B16" s="3" t="s">
        <v>15</v>
      </c>
      <c r="C16" t="s">
        <v>11</v>
      </c>
      <c r="D16">
        <v>1740</v>
      </c>
      <c r="E16">
        <v>3802404.6</v>
      </c>
      <c r="F16">
        <v>15858084.18</v>
      </c>
      <c r="G16">
        <v>19660490.18</v>
      </c>
      <c r="H16" t="s">
        <v>9</v>
      </c>
    </row>
    <row r="17" spans="1:8" x14ac:dyDescent="0.2">
      <c r="A17" t="str">
        <f t="shared" si="0"/>
        <v>2025</v>
      </c>
      <c r="B17" s="3" t="s">
        <v>15</v>
      </c>
      <c r="C17" t="s">
        <v>12</v>
      </c>
      <c r="D17">
        <v>3223</v>
      </c>
      <c r="E17">
        <v>9523674.9299999997</v>
      </c>
      <c r="F17">
        <v>37928082.25</v>
      </c>
      <c r="G17">
        <v>47451757.18</v>
      </c>
      <c r="H17" t="s">
        <v>9</v>
      </c>
    </row>
    <row r="18" spans="1:8" x14ac:dyDescent="0.2">
      <c r="A18" t="str">
        <f t="shared" si="0"/>
        <v>2025</v>
      </c>
      <c r="B18" s="3" t="s">
        <v>15</v>
      </c>
      <c r="C18" t="s">
        <v>16</v>
      </c>
      <c r="D18">
        <v>148</v>
      </c>
      <c r="E18">
        <v>371727.16</v>
      </c>
      <c r="F18">
        <v>1607834.57</v>
      </c>
      <c r="G18">
        <v>1979562.1</v>
      </c>
      <c r="H18" t="s">
        <v>9</v>
      </c>
    </row>
    <row r="19" spans="1:8" x14ac:dyDescent="0.2">
      <c r="A19" t="str">
        <f t="shared" si="0"/>
        <v>2025</v>
      </c>
      <c r="B19" s="3" t="s">
        <v>17</v>
      </c>
      <c r="C19" t="s">
        <v>8</v>
      </c>
      <c r="D19">
        <v>1018</v>
      </c>
      <c r="E19">
        <v>2208815.6800000002</v>
      </c>
      <c r="F19">
        <v>8609014.1799999997</v>
      </c>
      <c r="G19">
        <v>10817829.859999999</v>
      </c>
      <c r="H19" t="s">
        <v>9</v>
      </c>
    </row>
    <row r="20" spans="1:8" x14ac:dyDescent="0.2">
      <c r="A20" t="str">
        <f t="shared" si="0"/>
        <v>2025</v>
      </c>
      <c r="B20" s="3" t="s">
        <v>17</v>
      </c>
      <c r="C20" t="s">
        <v>10</v>
      </c>
      <c r="D20">
        <v>14406</v>
      </c>
      <c r="E20">
        <v>37036817.579999998</v>
      </c>
      <c r="F20">
        <v>145839638.68000001</v>
      </c>
      <c r="G20">
        <v>182876456.25999999</v>
      </c>
      <c r="H20" t="s">
        <v>9</v>
      </c>
    </row>
    <row r="21" spans="1:8" x14ac:dyDescent="0.2">
      <c r="A21" t="str">
        <f t="shared" si="0"/>
        <v>2025</v>
      </c>
      <c r="B21" s="3" t="s">
        <v>17</v>
      </c>
      <c r="C21" t="s">
        <v>11</v>
      </c>
      <c r="D21">
        <v>1602</v>
      </c>
      <c r="E21">
        <v>3500834.58</v>
      </c>
      <c r="F21">
        <v>14568005.99</v>
      </c>
      <c r="G21">
        <v>18068841.760000002</v>
      </c>
      <c r="H21" t="s">
        <v>9</v>
      </c>
    </row>
    <row r="22" spans="1:8" x14ac:dyDescent="0.2">
      <c r="A22" t="str">
        <f t="shared" si="0"/>
        <v>2025</v>
      </c>
      <c r="B22" s="3" t="s">
        <v>17</v>
      </c>
      <c r="C22" t="s">
        <v>12</v>
      </c>
      <c r="D22">
        <v>3007</v>
      </c>
      <c r="E22">
        <v>8885414.3699999992</v>
      </c>
      <c r="F22">
        <v>34996929.310000002</v>
      </c>
      <c r="G22">
        <v>43882343.68</v>
      </c>
      <c r="H22" t="s">
        <v>9</v>
      </c>
    </row>
    <row r="23" spans="1:8" x14ac:dyDescent="0.2">
      <c r="A23" t="str">
        <f t="shared" si="0"/>
        <v>2025</v>
      </c>
      <c r="B23" s="3" t="s">
        <v>17</v>
      </c>
      <c r="C23" t="s">
        <v>16</v>
      </c>
      <c r="D23">
        <v>263</v>
      </c>
      <c r="E23">
        <v>660569.21</v>
      </c>
      <c r="F23">
        <v>2436682.61</v>
      </c>
      <c r="G23">
        <v>3097252.36</v>
      </c>
      <c r="H23" t="s">
        <v>9</v>
      </c>
    </row>
    <row r="24" spans="1:8" x14ac:dyDescent="0.2">
      <c r="A24" t="str">
        <f t="shared" si="0"/>
        <v>2025</v>
      </c>
      <c r="B24" s="3" t="s">
        <v>18</v>
      </c>
      <c r="C24" t="s">
        <v>8</v>
      </c>
      <c r="D24">
        <v>891</v>
      </c>
      <c r="E24">
        <v>1933256.16</v>
      </c>
      <c r="F24">
        <v>7833748.8099999996</v>
      </c>
      <c r="G24">
        <v>9767004.9700000007</v>
      </c>
      <c r="H24" t="s">
        <v>9</v>
      </c>
    </row>
    <row r="25" spans="1:8" x14ac:dyDescent="0.2">
      <c r="A25" t="str">
        <f t="shared" si="0"/>
        <v>2025</v>
      </c>
      <c r="B25" s="3" t="s">
        <v>18</v>
      </c>
      <c r="C25" t="s">
        <v>10</v>
      </c>
      <c r="D25">
        <v>15506</v>
      </c>
      <c r="E25">
        <v>39864840.579999998</v>
      </c>
      <c r="F25">
        <v>156576560.25999999</v>
      </c>
      <c r="G25">
        <v>196441400.84</v>
      </c>
      <c r="H25" t="s">
        <v>9</v>
      </c>
    </row>
    <row r="26" spans="1:8" x14ac:dyDescent="0.2">
      <c r="A26" t="str">
        <f t="shared" si="0"/>
        <v>2025</v>
      </c>
      <c r="B26" s="3" t="s">
        <v>18</v>
      </c>
      <c r="C26" t="s">
        <v>11</v>
      </c>
      <c r="D26">
        <v>1825</v>
      </c>
      <c r="E26">
        <v>3988154.25</v>
      </c>
      <c r="F26">
        <v>16414974.460000001</v>
      </c>
      <c r="G26">
        <v>20403130.140000001</v>
      </c>
      <c r="H26" t="s">
        <v>9</v>
      </c>
    </row>
    <row r="27" spans="1:8" x14ac:dyDescent="0.2">
      <c r="A27" t="str">
        <f t="shared" si="0"/>
        <v>2025</v>
      </c>
      <c r="B27" s="3" t="s">
        <v>18</v>
      </c>
      <c r="C27" t="s">
        <v>12</v>
      </c>
      <c r="D27">
        <v>3098</v>
      </c>
      <c r="E27">
        <v>9154311.1799999997</v>
      </c>
      <c r="F27">
        <v>37951681.210000001</v>
      </c>
      <c r="G27">
        <v>47105992.390000001</v>
      </c>
      <c r="H27" t="s">
        <v>9</v>
      </c>
    </row>
    <row r="28" spans="1:8" x14ac:dyDescent="0.2">
      <c r="A28" t="str">
        <f t="shared" si="0"/>
        <v>2025</v>
      </c>
      <c r="B28" s="3" t="s">
        <v>18</v>
      </c>
      <c r="C28" t="s">
        <v>16</v>
      </c>
      <c r="D28">
        <v>339</v>
      </c>
      <c r="E28">
        <v>851456.13</v>
      </c>
      <c r="F28">
        <v>3997529.19</v>
      </c>
      <c r="G28">
        <v>4848985.91</v>
      </c>
      <c r="H28" t="s">
        <v>9</v>
      </c>
    </row>
    <row r="29" spans="1:8" x14ac:dyDescent="0.2">
      <c r="A29" t="str">
        <f t="shared" si="0"/>
        <v>2025</v>
      </c>
      <c r="B29" s="3" t="s">
        <v>19</v>
      </c>
      <c r="C29" t="s">
        <v>8</v>
      </c>
      <c r="D29">
        <v>1132</v>
      </c>
      <c r="E29">
        <v>2456168.3199999998</v>
      </c>
      <c r="F29">
        <v>9519911.4499999993</v>
      </c>
      <c r="G29">
        <v>11976079.77</v>
      </c>
      <c r="H29" t="s">
        <v>9</v>
      </c>
    </row>
    <row r="30" spans="1:8" x14ac:dyDescent="0.2">
      <c r="A30" t="str">
        <f t="shared" si="0"/>
        <v>2025</v>
      </c>
      <c r="B30" s="3" t="s">
        <v>19</v>
      </c>
      <c r="C30" t="s">
        <v>10</v>
      </c>
      <c r="D30">
        <v>15731</v>
      </c>
      <c r="E30">
        <v>40443299.829999998</v>
      </c>
      <c r="F30">
        <v>159745333.5</v>
      </c>
      <c r="G30">
        <v>200188633.33000001</v>
      </c>
      <c r="H30" t="s">
        <v>9</v>
      </c>
    </row>
    <row r="31" spans="1:8" x14ac:dyDescent="0.2">
      <c r="A31" t="str">
        <f t="shared" si="0"/>
        <v>2025</v>
      </c>
      <c r="B31" s="3" t="s">
        <v>19</v>
      </c>
      <c r="C31" t="s">
        <v>11</v>
      </c>
      <c r="D31">
        <v>1640</v>
      </c>
      <c r="E31">
        <v>3583875.6</v>
      </c>
      <c r="F31">
        <v>14480867.43</v>
      </c>
      <c r="G31">
        <v>18064744.57</v>
      </c>
      <c r="H31" t="s">
        <v>9</v>
      </c>
    </row>
    <row r="32" spans="1:8" x14ac:dyDescent="0.2">
      <c r="A32" t="str">
        <f t="shared" si="0"/>
        <v>2025</v>
      </c>
      <c r="B32" s="3" t="s">
        <v>19</v>
      </c>
      <c r="C32" t="s">
        <v>12</v>
      </c>
      <c r="D32">
        <v>3083</v>
      </c>
      <c r="E32">
        <v>9109987.5299999993</v>
      </c>
      <c r="F32">
        <v>37957042.189999998</v>
      </c>
      <c r="G32">
        <v>47067029.719999999</v>
      </c>
      <c r="H32" t="s">
        <v>9</v>
      </c>
    </row>
    <row r="33" spans="1:8" x14ac:dyDescent="0.2">
      <c r="A33" t="str">
        <f t="shared" si="0"/>
        <v>2025</v>
      </c>
      <c r="B33" s="3" t="s">
        <v>19</v>
      </c>
      <c r="C33" t="s">
        <v>16</v>
      </c>
      <c r="D33">
        <v>312</v>
      </c>
      <c r="E33">
        <v>783641.04</v>
      </c>
      <c r="F33">
        <v>3922350.58</v>
      </c>
      <c r="G33">
        <v>4705992.29</v>
      </c>
      <c r="H33" t="s">
        <v>9</v>
      </c>
    </row>
    <row r="34" spans="1:8" x14ac:dyDescent="0.2">
      <c r="A34" t="str">
        <f t="shared" si="0"/>
        <v>2025</v>
      </c>
      <c r="B34" s="3" t="s">
        <v>20</v>
      </c>
      <c r="C34" t="s">
        <v>8</v>
      </c>
      <c r="D34">
        <v>1098</v>
      </c>
      <c r="E34">
        <v>2382396.48</v>
      </c>
      <c r="F34">
        <v>9361702.9100000001</v>
      </c>
      <c r="G34">
        <v>11744099.390000001</v>
      </c>
      <c r="H34" t="s">
        <v>9</v>
      </c>
    </row>
    <row r="35" spans="1:8" x14ac:dyDescent="0.2">
      <c r="A35" t="str">
        <f t="shared" si="0"/>
        <v>2025</v>
      </c>
      <c r="B35" s="3" t="s">
        <v>20</v>
      </c>
      <c r="C35" t="s">
        <v>10</v>
      </c>
      <c r="D35">
        <v>14664</v>
      </c>
      <c r="E35">
        <v>37700117.519999899</v>
      </c>
      <c r="F35">
        <v>149199646.46000001</v>
      </c>
      <c r="G35">
        <v>186899763.97999999</v>
      </c>
      <c r="H35" t="s">
        <v>9</v>
      </c>
    </row>
    <row r="36" spans="1:8" x14ac:dyDescent="0.2">
      <c r="A36" t="str">
        <f t="shared" si="0"/>
        <v>2025</v>
      </c>
      <c r="B36" s="3" t="s">
        <v>20</v>
      </c>
      <c r="C36" t="s">
        <v>11</v>
      </c>
      <c r="D36">
        <v>1209</v>
      </c>
      <c r="E36">
        <v>2642015.61</v>
      </c>
      <c r="F36">
        <v>10975226.35</v>
      </c>
      <c r="G36">
        <v>13617242.960000001</v>
      </c>
      <c r="H36" t="s">
        <v>9</v>
      </c>
    </row>
    <row r="37" spans="1:8" x14ac:dyDescent="0.2">
      <c r="A37" t="str">
        <f t="shared" si="0"/>
        <v>2025</v>
      </c>
      <c r="B37" s="3" t="s">
        <v>20</v>
      </c>
      <c r="C37" t="s">
        <v>12</v>
      </c>
      <c r="D37">
        <v>2861</v>
      </c>
      <c r="E37">
        <v>8453997.5099999998</v>
      </c>
      <c r="F37">
        <v>33692900.869999997</v>
      </c>
      <c r="G37">
        <v>42146898.380000003</v>
      </c>
      <c r="H37" t="s">
        <v>9</v>
      </c>
    </row>
    <row r="38" spans="1:8" x14ac:dyDescent="0.2">
      <c r="A38" t="str">
        <f t="shared" si="0"/>
        <v>2025</v>
      </c>
      <c r="B38" s="3" t="s">
        <v>20</v>
      </c>
      <c r="C38" t="s">
        <v>16</v>
      </c>
      <c r="D38">
        <v>301</v>
      </c>
      <c r="E38">
        <v>756012.67</v>
      </c>
      <c r="F38">
        <v>3968928.9</v>
      </c>
      <c r="G38">
        <v>4724942.3899999997</v>
      </c>
      <c r="H38" t="s">
        <v>9</v>
      </c>
    </row>
    <row r="39" spans="1:8" x14ac:dyDescent="0.2">
      <c r="A39" t="str">
        <f t="shared" si="0"/>
        <v>2025</v>
      </c>
      <c r="B39" s="3" t="s">
        <v>21</v>
      </c>
      <c r="C39" t="s">
        <v>8</v>
      </c>
      <c r="D39">
        <v>1115</v>
      </c>
      <c r="E39">
        <v>2419282.4</v>
      </c>
      <c r="F39">
        <v>9329873.5099999998</v>
      </c>
      <c r="G39">
        <v>11749155.91</v>
      </c>
      <c r="H39" t="s">
        <v>9</v>
      </c>
    </row>
    <row r="40" spans="1:8" x14ac:dyDescent="0.2">
      <c r="A40" t="str">
        <f t="shared" si="0"/>
        <v>2025</v>
      </c>
      <c r="B40" s="3" t="s">
        <v>21</v>
      </c>
      <c r="C40" t="s">
        <v>10</v>
      </c>
      <c r="D40">
        <v>14398</v>
      </c>
      <c r="E40">
        <v>37016250.140000001</v>
      </c>
      <c r="F40">
        <v>144112213.84</v>
      </c>
      <c r="G40">
        <v>181128463.97999999</v>
      </c>
      <c r="H40" t="s">
        <v>9</v>
      </c>
    </row>
    <row r="41" spans="1:8" x14ac:dyDescent="0.2">
      <c r="A41" t="str">
        <f t="shared" si="0"/>
        <v>2025</v>
      </c>
      <c r="B41" s="3" t="s">
        <v>21</v>
      </c>
      <c r="C41" t="s">
        <v>11</v>
      </c>
      <c r="D41">
        <v>932</v>
      </c>
      <c r="E41">
        <v>2036690.28</v>
      </c>
      <c r="F41">
        <v>8982202.8000000007</v>
      </c>
      <c r="G41">
        <v>11018893.880000001</v>
      </c>
      <c r="H41" t="s">
        <v>9</v>
      </c>
    </row>
    <row r="42" spans="1:8" x14ac:dyDescent="0.2">
      <c r="A42" t="str">
        <f t="shared" si="0"/>
        <v>2025</v>
      </c>
      <c r="B42" s="3" t="s">
        <v>21</v>
      </c>
      <c r="C42" t="s">
        <v>12</v>
      </c>
      <c r="D42">
        <v>2753</v>
      </c>
      <c r="E42">
        <v>8134867.2299999902</v>
      </c>
      <c r="F42">
        <v>33340868.399999999</v>
      </c>
      <c r="G42">
        <v>41475735.630000003</v>
      </c>
      <c r="H42" t="s">
        <v>9</v>
      </c>
    </row>
    <row r="43" spans="1:8" x14ac:dyDescent="0.2">
      <c r="A43" t="str">
        <f t="shared" si="0"/>
        <v>2025</v>
      </c>
      <c r="B43" s="3" t="s">
        <v>21</v>
      </c>
      <c r="C43" t="s">
        <v>16</v>
      </c>
      <c r="D43">
        <v>329</v>
      </c>
      <c r="E43">
        <v>826339.43</v>
      </c>
      <c r="F43">
        <v>3933880.75</v>
      </c>
      <c r="G43">
        <v>4760220.7</v>
      </c>
      <c r="H43" t="s">
        <v>9</v>
      </c>
    </row>
    <row r="44" spans="1:8" x14ac:dyDescent="0.2">
      <c r="A44" t="str">
        <f t="shared" si="0"/>
        <v>2025</v>
      </c>
      <c r="B44" s="3" t="s">
        <v>22</v>
      </c>
      <c r="C44" t="s">
        <v>8</v>
      </c>
      <c r="D44">
        <v>1012</v>
      </c>
      <c r="E44">
        <v>2195797.12</v>
      </c>
      <c r="F44">
        <v>8631838.2400000002</v>
      </c>
      <c r="G44">
        <v>10827635.359999999</v>
      </c>
      <c r="H44" t="s">
        <v>9</v>
      </c>
    </row>
    <row r="45" spans="1:8" x14ac:dyDescent="0.2">
      <c r="A45" t="str">
        <f t="shared" si="0"/>
        <v>2025</v>
      </c>
      <c r="B45" s="3" t="s">
        <v>22</v>
      </c>
      <c r="C45" t="s">
        <v>10</v>
      </c>
      <c r="D45">
        <v>11702</v>
      </c>
      <c r="E45">
        <v>30085022.859999999</v>
      </c>
      <c r="F45">
        <v>115619777.09</v>
      </c>
      <c r="G45">
        <v>145704799.94999999</v>
      </c>
      <c r="H45" t="s">
        <v>9</v>
      </c>
    </row>
    <row r="46" spans="1:8" x14ac:dyDescent="0.2">
      <c r="A46" t="str">
        <f t="shared" si="0"/>
        <v>2025</v>
      </c>
      <c r="B46" s="3" t="s">
        <v>22</v>
      </c>
      <c r="C46" t="s">
        <v>11</v>
      </c>
      <c r="D46">
        <v>650</v>
      </c>
      <c r="E46">
        <v>1420438.5</v>
      </c>
      <c r="F46">
        <v>5740321.5599999996</v>
      </c>
      <c r="G46">
        <v>7160760.7000000002</v>
      </c>
      <c r="H46" t="s">
        <v>9</v>
      </c>
    </row>
    <row r="47" spans="1:8" x14ac:dyDescent="0.2">
      <c r="A47" t="str">
        <f t="shared" si="0"/>
        <v>2025</v>
      </c>
      <c r="B47" s="3" t="s">
        <v>22</v>
      </c>
      <c r="C47" t="s">
        <v>12</v>
      </c>
      <c r="D47">
        <v>2285</v>
      </c>
      <c r="E47">
        <v>6751969.3499999996</v>
      </c>
      <c r="F47">
        <v>27411315.640000001</v>
      </c>
      <c r="G47">
        <v>34163284.990000002</v>
      </c>
      <c r="H47" t="s">
        <v>9</v>
      </c>
    </row>
    <row r="48" spans="1:8" x14ac:dyDescent="0.2">
      <c r="A48" t="str">
        <f t="shared" si="0"/>
        <v>2025</v>
      </c>
      <c r="B48" s="3" t="s">
        <v>22</v>
      </c>
      <c r="C48" t="s">
        <v>16</v>
      </c>
      <c r="D48">
        <v>258</v>
      </c>
      <c r="E48">
        <v>648010.86</v>
      </c>
      <c r="F48">
        <v>2894537.27</v>
      </c>
      <c r="G48">
        <v>3542548.91</v>
      </c>
      <c r="H48" t="s">
        <v>9</v>
      </c>
    </row>
    <row r="49" spans="1:8" x14ac:dyDescent="0.2">
      <c r="A49" t="str">
        <f t="shared" si="0"/>
        <v>2025</v>
      </c>
      <c r="B49" s="3" t="s">
        <v>23</v>
      </c>
      <c r="C49" t="s">
        <v>8</v>
      </c>
      <c r="D49">
        <v>950</v>
      </c>
      <c r="E49">
        <v>2061272</v>
      </c>
      <c r="F49">
        <v>8063394.4199999999</v>
      </c>
      <c r="G49">
        <v>10124666.42</v>
      </c>
      <c r="H49" t="s">
        <v>9</v>
      </c>
    </row>
    <row r="50" spans="1:8" x14ac:dyDescent="0.2">
      <c r="A50" t="str">
        <f t="shared" si="0"/>
        <v>2025</v>
      </c>
      <c r="B50" s="3" t="s">
        <v>23</v>
      </c>
      <c r="C50" t="s">
        <v>10</v>
      </c>
      <c r="D50">
        <v>12488</v>
      </c>
      <c r="E50">
        <v>32105773.839999899</v>
      </c>
      <c r="F50">
        <v>123885313.31</v>
      </c>
      <c r="G50">
        <v>155991087.15000001</v>
      </c>
      <c r="H50" t="s">
        <v>9</v>
      </c>
    </row>
    <row r="51" spans="1:8" x14ac:dyDescent="0.2">
      <c r="A51" t="str">
        <f t="shared" si="0"/>
        <v>2025</v>
      </c>
      <c r="B51" s="3" t="s">
        <v>23</v>
      </c>
      <c r="C51" t="s">
        <v>11</v>
      </c>
      <c r="D51">
        <v>552</v>
      </c>
      <c r="E51">
        <v>1206280.08</v>
      </c>
      <c r="F51">
        <v>5728774.1399999997</v>
      </c>
      <c r="G51">
        <v>6935054.5800000001</v>
      </c>
      <c r="H51" t="s">
        <v>9</v>
      </c>
    </row>
    <row r="52" spans="1:8" x14ac:dyDescent="0.2">
      <c r="A52" t="str">
        <f t="shared" si="0"/>
        <v>2025</v>
      </c>
      <c r="B52" s="3" t="s">
        <v>23</v>
      </c>
      <c r="C52" t="s">
        <v>12</v>
      </c>
      <c r="D52">
        <v>2451</v>
      </c>
      <c r="E52">
        <v>7242484.4099999899</v>
      </c>
      <c r="F52">
        <v>30367939.5</v>
      </c>
      <c r="G52">
        <v>37610423.909999996</v>
      </c>
      <c r="H52" t="s">
        <v>9</v>
      </c>
    </row>
    <row r="53" spans="1:8" x14ac:dyDescent="0.2">
      <c r="A53" t="str">
        <f t="shared" si="0"/>
        <v>2025</v>
      </c>
      <c r="B53" s="3" t="s">
        <v>23</v>
      </c>
      <c r="C53" t="s">
        <v>16</v>
      </c>
      <c r="D53">
        <v>278</v>
      </c>
      <c r="E53">
        <v>698244.26</v>
      </c>
      <c r="F53">
        <v>2819876.77</v>
      </c>
      <c r="G53">
        <v>3518121.58</v>
      </c>
      <c r="H53" t="s">
        <v>9</v>
      </c>
    </row>
    <row r="54" spans="1:8" x14ac:dyDescent="0.2">
      <c r="A54" t="str">
        <f t="shared" si="0"/>
        <v>2026</v>
      </c>
      <c r="B54" s="3" t="s">
        <v>24</v>
      </c>
      <c r="C54" t="s">
        <v>8</v>
      </c>
      <c r="D54">
        <v>918</v>
      </c>
      <c r="E54">
        <v>1991839.68</v>
      </c>
      <c r="F54">
        <v>8064828.8399999999</v>
      </c>
      <c r="G54">
        <v>10056668.52</v>
      </c>
      <c r="H54" t="s">
        <v>9</v>
      </c>
    </row>
    <row r="55" spans="1:8" x14ac:dyDescent="0.2">
      <c r="A55" t="str">
        <f t="shared" si="0"/>
        <v>2026</v>
      </c>
      <c r="B55" s="3" t="s">
        <v>24</v>
      </c>
      <c r="C55" t="s">
        <v>10</v>
      </c>
      <c r="D55">
        <v>10459</v>
      </c>
      <c r="E55">
        <v>26889356.8699999</v>
      </c>
      <c r="F55">
        <v>105502768.27</v>
      </c>
      <c r="G55">
        <v>132392125.14</v>
      </c>
      <c r="H55" t="s">
        <v>9</v>
      </c>
    </row>
    <row r="56" spans="1:8" x14ac:dyDescent="0.2">
      <c r="A56" t="str">
        <f t="shared" si="0"/>
        <v>2026</v>
      </c>
      <c r="B56" s="3" t="s">
        <v>24</v>
      </c>
      <c r="C56" t="s">
        <v>11</v>
      </c>
      <c r="D56">
        <v>475</v>
      </c>
      <c r="E56">
        <v>1038012.75</v>
      </c>
      <c r="F56">
        <v>4925489.12</v>
      </c>
      <c r="G56">
        <v>5963502.3600000003</v>
      </c>
      <c r="H56" t="s">
        <v>9</v>
      </c>
    </row>
    <row r="57" spans="1:8" x14ac:dyDescent="0.2">
      <c r="A57" t="str">
        <f t="shared" si="0"/>
        <v>2026</v>
      </c>
      <c r="B57" s="3" t="s">
        <v>24</v>
      </c>
      <c r="C57" t="s">
        <v>12</v>
      </c>
      <c r="D57">
        <v>2449</v>
      </c>
      <c r="E57">
        <v>7236574.5899999999</v>
      </c>
      <c r="F57">
        <v>27294287.559999999</v>
      </c>
      <c r="G57">
        <v>34530862.149999999</v>
      </c>
      <c r="H57" t="s">
        <v>9</v>
      </c>
    </row>
    <row r="58" spans="1:8" x14ac:dyDescent="0.2">
      <c r="A58" t="str">
        <f t="shared" si="0"/>
        <v>2026</v>
      </c>
      <c r="B58" s="3" t="s">
        <v>24</v>
      </c>
      <c r="C58" t="s">
        <v>16</v>
      </c>
      <c r="D58">
        <v>284</v>
      </c>
      <c r="E58">
        <v>713314.28</v>
      </c>
      <c r="F58">
        <v>2840170.82</v>
      </c>
      <c r="G58">
        <v>3553485.43</v>
      </c>
      <c r="H58" t="s">
        <v>9</v>
      </c>
    </row>
    <row r="59" spans="1:8" x14ac:dyDescent="0.2">
      <c r="A59" t="str">
        <f t="shared" si="0"/>
        <v>2026</v>
      </c>
      <c r="B59" s="3" t="s">
        <v>25</v>
      </c>
      <c r="C59" t="s">
        <v>8</v>
      </c>
      <c r="D59">
        <v>793.16</v>
      </c>
      <c r="E59">
        <v>1720956.73</v>
      </c>
      <c r="F59">
        <v>6713767.1699999999</v>
      </c>
      <c r="G59">
        <v>8434723.9000000004</v>
      </c>
      <c r="H59" t="s">
        <v>26</v>
      </c>
    </row>
    <row r="60" spans="1:8" x14ac:dyDescent="0.2">
      <c r="A60" t="str">
        <f t="shared" si="0"/>
        <v>2026</v>
      </c>
      <c r="B60" s="3" t="s">
        <v>25</v>
      </c>
      <c r="C60" t="s">
        <v>10</v>
      </c>
      <c r="D60">
        <v>10318.91</v>
      </c>
      <c r="E60">
        <v>26529197.539999999</v>
      </c>
      <c r="F60">
        <v>103259352.73</v>
      </c>
      <c r="G60">
        <v>129788550.27</v>
      </c>
      <c r="H60" t="s">
        <v>26</v>
      </c>
    </row>
    <row r="61" spans="1:8" x14ac:dyDescent="0.2">
      <c r="A61" t="str">
        <f t="shared" si="0"/>
        <v>2026</v>
      </c>
      <c r="B61" s="3" t="s">
        <v>25</v>
      </c>
      <c r="C61" t="s">
        <v>11</v>
      </c>
      <c r="D61">
        <v>1014.44</v>
      </c>
      <c r="E61">
        <v>2216855.27</v>
      </c>
      <c r="F61">
        <v>9239509.9900000002</v>
      </c>
      <c r="G61">
        <v>11456366.02</v>
      </c>
      <c r="H61" t="s">
        <v>26</v>
      </c>
    </row>
    <row r="62" spans="1:8" x14ac:dyDescent="0.2">
      <c r="A62" t="str">
        <f t="shared" si="0"/>
        <v>2026</v>
      </c>
      <c r="B62" s="3" t="s">
        <v>25</v>
      </c>
      <c r="C62" t="s">
        <v>12</v>
      </c>
      <c r="D62">
        <v>2181.39</v>
      </c>
      <c r="E62">
        <v>6445813.8300000001</v>
      </c>
      <c r="F62">
        <v>26303023.309999999</v>
      </c>
      <c r="G62">
        <v>32748837.149999999</v>
      </c>
      <c r="H62" t="s">
        <v>26</v>
      </c>
    </row>
    <row r="63" spans="1:8" x14ac:dyDescent="0.2">
      <c r="A63" t="str">
        <f t="shared" si="0"/>
        <v>2026</v>
      </c>
      <c r="B63" s="3" t="s">
        <v>25</v>
      </c>
      <c r="C63" t="s">
        <v>16</v>
      </c>
      <c r="D63">
        <v>220.26</v>
      </c>
      <c r="E63">
        <v>553217.47</v>
      </c>
      <c r="F63">
        <v>2492098.0299999998</v>
      </c>
      <c r="G63">
        <v>3045315.95</v>
      </c>
      <c r="H63" t="s">
        <v>26</v>
      </c>
    </row>
    <row r="64" spans="1:8" x14ac:dyDescent="0.2">
      <c r="A64" t="str">
        <f t="shared" si="0"/>
        <v>2026</v>
      </c>
      <c r="B64" s="3" t="s">
        <v>27</v>
      </c>
      <c r="C64" t="s">
        <v>8</v>
      </c>
      <c r="D64">
        <v>986.91</v>
      </c>
      <c r="E64">
        <v>2141351.62</v>
      </c>
      <c r="F64">
        <v>8353804.5499999998</v>
      </c>
      <c r="G64">
        <v>10495156.17</v>
      </c>
      <c r="H64" t="s">
        <v>26</v>
      </c>
    </row>
    <row r="65" spans="1:8" x14ac:dyDescent="0.2">
      <c r="A65" t="str">
        <f t="shared" si="0"/>
        <v>2026</v>
      </c>
      <c r="B65" s="3" t="s">
        <v>27</v>
      </c>
      <c r="C65" t="s">
        <v>10</v>
      </c>
      <c r="D65">
        <v>12839.61</v>
      </c>
      <c r="E65">
        <v>33009743.350000001</v>
      </c>
      <c r="F65">
        <v>128483521.84999999</v>
      </c>
      <c r="G65">
        <v>161493265.19999999</v>
      </c>
      <c r="H65" t="s">
        <v>26</v>
      </c>
    </row>
    <row r="66" spans="1:8" x14ac:dyDescent="0.2">
      <c r="A66" t="str">
        <f t="shared" si="0"/>
        <v>2026</v>
      </c>
      <c r="B66" s="3" t="s">
        <v>27</v>
      </c>
      <c r="C66" t="s">
        <v>11</v>
      </c>
      <c r="D66">
        <v>1262.25</v>
      </c>
      <c r="E66">
        <v>2758388.13</v>
      </c>
      <c r="F66">
        <v>11496535.199999999</v>
      </c>
      <c r="G66">
        <v>14254924.279999999</v>
      </c>
      <c r="H66" t="s">
        <v>26</v>
      </c>
    </row>
    <row r="67" spans="1:8" x14ac:dyDescent="0.2">
      <c r="A67" t="str">
        <f t="shared" ref="A67:A130" si="1">LEFT(B67,4)</f>
        <v>2026</v>
      </c>
      <c r="B67" s="3" t="s">
        <v>27</v>
      </c>
      <c r="C67" t="s">
        <v>12</v>
      </c>
      <c r="D67">
        <v>2714.26</v>
      </c>
      <c r="E67">
        <v>8020395.6399999997</v>
      </c>
      <c r="F67">
        <v>32728319.34</v>
      </c>
      <c r="G67">
        <v>40748714.979999997</v>
      </c>
      <c r="H67" t="s">
        <v>26</v>
      </c>
    </row>
    <row r="68" spans="1:8" x14ac:dyDescent="0.2">
      <c r="A68" t="str">
        <f t="shared" si="1"/>
        <v>2026</v>
      </c>
      <c r="B68" s="3" t="s">
        <v>27</v>
      </c>
      <c r="C68" t="s">
        <v>16</v>
      </c>
      <c r="D68">
        <v>274.06</v>
      </c>
      <c r="E68">
        <v>688357.3</v>
      </c>
      <c r="F68">
        <v>3100867.11</v>
      </c>
      <c r="G68">
        <v>3789224.97</v>
      </c>
      <c r="H68" t="s">
        <v>26</v>
      </c>
    </row>
    <row r="69" spans="1:8" x14ac:dyDescent="0.2">
      <c r="A69" t="str">
        <f t="shared" si="1"/>
        <v>2026</v>
      </c>
      <c r="B69" s="3" t="s">
        <v>28</v>
      </c>
      <c r="C69" t="s">
        <v>8</v>
      </c>
      <c r="D69">
        <v>1046.26</v>
      </c>
      <c r="E69">
        <v>2270132.38</v>
      </c>
      <c r="F69">
        <v>8856201.8599999994</v>
      </c>
      <c r="G69">
        <v>11126334.24</v>
      </c>
      <c r="H69" t="s">
        <v>26</v>
      </c>
    </row>
    <row r="70" spans="1:8" x14ac:dyDescent="0.2">
      <c r="A70" t="str">
        <f t="shared" si="1"/>
        <v>2026</v>
      </c>
      <c r="B70" s="3" t="s">
        <v>28</v>
      </c>
      <c r="C70" t="s">
        <v>10</v>
      </c>
      <c r="D70">
        <v>13611.79</v>
      </c>
      <c r="E70">
        <v>34994947.369999997</v>
      </c>
      <c r="F70">
        <v>136210513.28</v>
      </c>
      <c r="G70">
        <v>171205460.65000001</v>
      </c>
      <c r="H70" t="s">
        <v>26</v>
      </c>
    </row>
    <row r="71" spans="1:8" x14ac:dyDescent="0.2">
      <c r="A71" t="str">
        <f t="shared" si="1"/>
        <v>2026</v>
      </c>
      <c r="B71" s="3" t="s">
        <v>28</v>
      </c>
      <c r="C71" t="s">
        <v>11</v>
      </c>
      <c r="D71">
        <v>1338.16</v>
      </c>
      <c r="E71">
        <v>2924277.43</v>
      </c>
      <c r="F71">
        <v>12187936.15</v>
      </c>
      <c r="G71">
        <v>15112214.58</v>
      </c>
      <c r="H71" t="s">
        <v>26</v>
      </c>
    </row>
    <row r="72" spans="1:8" x14ac:dyDescent="0.2">
      <c r="A72" t="str">
        <f t="shared" si="1"/>
        <v>2026</v>
      </c>
      <c r="B72" s="3" t="s">
        <v>28</v>
      </c>
      <c r="C72" t="s">
        <v>12</v>
      </c>
      <c r="D72">
        <v>2877.5</v>
      </c>
      <c r="E72">
        <v>8502741.7599999998</v>
      </c>
      <c r="F72">
        <v>34696598.530000001</v>
      </c>
      <c r="G72">
        <v>43199340.289999999</v>
      </c>
      <c r="H72" t="s">
        <v>26</v>
      </c>
    </row>
    <row r="73" spans="1:8" x14ac:dyDescent="0.2">
      <c r="A73" t="str">
        <f t="shared" si="1"/>
        <v>2026</v>
      </c>
      <c r="B73" s="3" t="s">
        <v>28</v>
      </c>
      <c r="C73" t="s">
        <v>16</v>
      </c>
      <c r="D73">
        <v>290.55</v>
      </c>
      <c r="E73">
        <v>729755.06</v>
      </c>
      <c r="F73">
        <v>3287353.08</v>
      </c>
      <c r="G73">
        <v>4017108.74</v>
      </c>
      <c r="H73" t="s">
        <v>26</v>
      </c>
    </row>
    <row r="74" spans="1:8" x14ac:dyDescent="0.2">
      <c r="A74" t="str">
        <f t="shared" si="1"/>
        <v>2026</v>
      </c>
      <c r="B74" s="3" t="s">
        <v>29</v>
      </c>
      <c r="C74" t="s">
        <v>8</v>
      </c>
      <c r="D74">
        <v>1131.98</v>
      </c>
      <c r="E74">
        <v>2456121.5099999998</v>
      </c>
      <c r="F74">
        <v>9581779.5199999996</v>
      </c>
      <c r="G74">
        <v>12037901.039999999</v>
      </c>
      <c r="H74" t="s">
        <v>26</v>
      </c>
    </row>
    <row r="75" spans="1:8" x14ac:dyDescent="0.2">
      <c r="A75" t="str">
        <f t="shared" si="1"/>
        <v>2026</v>
      </c>
      <c r="B75" s="3" t="s">
        <v>29</v>
      </c>
      <c r="C75" t="s">
        <v>10</v>
      </c>
      <c r="D75">
        <v>14726.98</v>
      </c>
      <c r="E75">
        <v>37862040.100000001</v>
      </c>
      <c r="F75">
        <v>147370072.05000001</v>
      </c>
      <c r="G75">
        <v>185232112.15000001</v>
      </c>
      <c r="H75" t="s">
        <v>26</v>
      </c>
    </row>
    <row r="76" spans="1:8" x14ac:dyDescent="0.2">
      <c r="A76" t="str">
        <f t="shared" si="1"/>
        <v>2026</v>
      </c>
      <c r="B76" s="3" t="s">
        <v>29</v>
      </c>
      <c r="C76" t="s">
        <v>11</v>
      </c>
      <c r="D76">
        <v>1447.8</v>
      </c>
      <c r="E76">
        <v>3163859.86</v>
      </c>
      <c r="F76">
        <v>13186478.67</v>
      </c>
      <c r="G76">
        <v>16350339.619999999</v>
      </c>
      <c r="H76" t="s">
        <v>26</v>
      </c>
    </row>
    <row r="77" spans="1:8" x14ac:dyDescent="0.2">
      <c r="A77" t="str">
        <f t="shared" si="1"/>
        <v>2026</v>
      </c>
      <c r="B77" s="3" t="s">
        <v>29</v>
      </c>
      <c r="C77" t="s">
        <v>12</v>
      </c>
      <c r="D77">
        <v>3113.25</v>
      </c>
      <c r="E77">
        <v>9199360.8699999992</v>
      </c>
      <c r="F77">
        <v>37539247.909999996</v>
      </c>
      <c r="G77">
        <v>46738608.780000001</v>
      </c>
      <c r="H77" t="s">
        <v>26</v>
      </c>
    </row>
    <row r="78" spans="1:8" x14ac:dyDescent="0.2">
      <c r="A78" t="str">
        <f t="shared" si="1"/>
        <v>2026</v>
      </c>
      <c r="B78" s="3" t="s">
        <v>29</v>
      </c>
      <c r="C78" t="s">
        <v>16</v>
      </c>
      <c r="D78">
        <v>314.35000000000002</v>
      </c>
      <c r="E78">
        <v>789542.99</v>
      </c>
      <c r="F78">
        <v>3556681.85</v>
      </c>
      <c r="G78">
        <v>4346225.49</v>
      </c>
      <c r="H78" t="s">
        <v>26</v>
      </c>
    </row>
    <row r="79" spans="1:8" x14ac:dyDescent="0.2">
      <c r="A79" t="str">
        <f t="shared" si="1"/>
        <v>2026</v>
      </c>
      <c r="B79" s="3" t="s">
        <v>30</v>
      </c>
      <c r="C79" t="s">
        <v>8</v>
      </c>
      <c r="D79">
        <v>1158.29</v>
      </c>
      <c r="E79">
        <v>2513206.06</v>
      </c>
      <c r="F79">
        <v>9804476.7899999991</v>
      </c>
      <c r="G79">
        <v>12317682.85</v>
      </c>
      <c r="H79" t="s">
        <v>26</v>
      </c>
    </row>
    <row r="80" spans="1:8" x14ac:dyDescent="0.2">
      <c r="A80" t="str">
        <f t="shared" si="1"/>
        <v>2026</v>
      </c>
      <c r="B80" s="3" t="s">
        <v>30</v>
      </c>
      <c r="C80" t="s">
        <v>10</v>
      </c>
      <c r="D80">
        <v>15069.26</v>
      </c>
      <c r="E80">
        <v>38742019.960000001</v>
      </c>
      <c r="F80">
        <v>150795209.59</v>
      </c>
      <c r="G80">
        <v>189537229.55000001</v>
      </c>
      <c r="H80" t="s">
        <v>26</v>
      </c>
    </row>
    <row r="81" spans="1:8" x14ac:dyDescent="0.2">
      <c r="A81" t="str">
        <f t="shared" si="1"/>
        <v>2026</v>
      </c>
      <c r="B81" s="3" t="s">
        <v>30</v>
      </c>
      <c r="C81" t="s">
        <v>11</v>
      </c>
      <c r="D81">
        <v>1481.45</v>
      </c>
      <c r="E81">
        <v>3237393.48</v>
      </c>
      <c r="F81">
        <v>13492955.439999999</v>
      </c>
      <c r="G81">
        <v>16730350.029999999</v>
      </c>
      <c r="H81" t="s">
        <v>26</v>
      </c>
    </row>
    <row r="82" spans="1:8" x14ac:dyDescent="0.2">
      <c r="A82" t="str">
        <f t="shared" si="1"/>
        <v>2026</v>
      </c>
      <c r="B82" s="3" t="s">
        <v>30</v>
      </c>
      <c r="C82" t="s">
        <v>12</v>
      </c>
      <c r="D82">
        <v>3185.6</v>
      </c>
      <c r="E82">
        <v>9413170.0600000005</v>
      </c>
      <c r="F82">
        <v>38411725.509999998</v>
      </c>
      <c r="G82">
        <v>47824895.57</v>
      </c>
      <c r="H82" t="s">
        <v>26</v>
      </c>
    </row>
    <row r="83" spans="1:8" x14ac:dyDescent="0.2">
      <c r="A83" t="str">
        <f t="shared" si="1"/>
        <v>2026</v>
      </c>
      <c r="B83" s="3" t="s">
        <v>30</v>
      </c>
      <c r="C83" t="s">
        <v>16</v>
      </c>
      <c r="D83">
        <v>321.66000000000003</v>
      </c>
      <c r="E83">
        <v>807893.35</v>
      </c>
      <c r="F83">
        <v>3639345.34</v>
      </c>
      <c r="G83">
        <v>4447239.3499999996</v>
      </c>
      <c r="H83" t="s">
        <v>26</v>
      </c>
    </row>
    <row r="84" spans="1:8" x14ac:dyDescent="0.2">
      <c r="A84" t="str">
        <f t="shared" si="1"/>
        <v>2026</v>
      </c>
      <c r="B84" s="3" t="s">
        <v>31</v>
      </c>
      <c r="C84" t="s">
        <v>8</v>
      </c>
      <c r="D84">
        <v>1236.07</v>
      </c>
      <c r="E84">
        <v>2681983.16</v>
      </c>
      <c r="F84">
        <v>10462907.119999999</v>
      </c>
      <c r="G84">
        <v>13144890.27</v>
      </c>
      <c r="H84" t="s">
        <v>26</v>
      </c>
    </row>
    <row r="85" spans="1:8" x14ac:dyDescent="0.2">
      <c r="A85" t="str">
        <f t="shared" si="1"/>
        <v>2026</v>
      </c>
      <c r="B85" s="3" t="s">
        <v>31</v>
      </c>
      <c r="C85" t="s">
        <v>10</v>
      </c>
      <c r="D85">
        <v>16081.26</v>
      </c>
      <c r="E85">
        <v>41343782.530000001</v>
      </c>
      <c r="F85">
        <v>160922026.24000001</v>
      </c>
      <c r="G85">
        <v>202265808.77000001</v>
      </c>
      <c r="H85" t="s">
        <v>26</v>
      </c>
    </row>
    <row r="86" spans="1:8" x14ac:dyDescent="0.2">
      <c r="A86" t="str">
        <f t="shared" si="1"/>
        <v>2026</v>
      </c>
      <c r="B86" s="3" t="s">
        <v>31</v>
      </c>
      <c r="C86" t="s">
        <v>11</v>
      </c>
      <c r="D86">
        <v>1580.94</v>
      </c>
      <c r="E86">
        <v>3454804.17</v>
      </c>
      <c r="F86">
        <v>14399089.57</v>
      </c>
      <c r="G86">
        <v>17853894.920000002</v>
      </c>
      <c r="H86" t="s">
        <v>26</v>
      </c>
    </row>
    <row r="87" spans="1:8" x14ac:dyDescent="0.2">
      <c r="A87" t="str">
        <f t="shared" si="1"/>
        <v>2026</v>
      </c>
      <c r="B87" s="3" t="s">
        <v>31</v>
      </c>
      <c r="C87" t="s">
        <v>12</v>
      </c>
      <c r="D87">
        <v>3399.54</v>
      </c>
      <c r="E87">
        <v>10045321.75</v>
      </c>
      <c r="F87">
        <v>40991306.799999997</v>
      </c>
      <c r="G87">
        <v>51036628.560000002</v>
      </c>
      <c r="H87" t="s">
        <v>26</v>
      </c>
    </row>
    <row r="88" spans="1:8" x14ac:dyDescent="0.2">
      <c r="A88" t="str">
        <f t="shared" si="1"/>
        <v>2026</v>
      </c>
      <c r="B88" s="3" t="s">
        <v>31</v>
      </c>
      <c r="C88" t="s">
        <v>16</v>
      </c>
      <c r="D88">
        <v>343.26</v>
      </c>
      <c r="E88">
        <v>862148.31</v>
      </c>
      <c r="F88">
        <v>3883749.54</v>
      </c>
      <c r="G88">
        <v>4745898.5599999996</v>
      </c>
      <c r="H88" t="s">
        <v>26</v>
      </c>
    </row>
    <row r="89" spans="1:8" x14ac:dyDescent="0.2">
      <c r="A89" t="str">
        <f t="shared" si="1"/>
        <v>2026</v>
      </c>
      <c r="B89" s="3" t="s">
        <v>32</v>
      </c>
      <c r="C89" t="s">
        <v>8</v>
      </c>
      <c r="D89">
        <v>1249.71</v>
      </c>
      <c r="E89">
        <v>2711577.96</v>
      </c>
      <c r="F89">
        <v>10578361.880000001</v>
      </c>
      <c r="G89">
        <v>13289939.85</v>
      </c>
      <c r="H89" t="s">
        <v>26</v>
      </c>
    </row>
    <row r="90" spans="1:8" x14ac:dyDescent="0.2">
      <c r="A90" t="str">
        <f t="shared" si="1"/>
        <v>2026</v>
      </c>
      <c r="B90" s="3" t="s">
        <v>32</v>
      </c>
      <c r="C90" t="s">
        <v>10</v>
      </c>
      <c r="D90">
        <v>16258.71</v>
      </c>
      <c r="E90">
        <v>41799997.68</v>
      </c>
      <c r="F90">
        <v>162697748.31</v>
      </c>
      <c r="G90">
        <v>204497745.99000001</v>
      </c>
      <c r="H90" t="s">
        <v>26</v>
      </c>
    </row>
    <row r="91" spans="1:8" x14ac:dyDescent="0.2">
      <c r="A91" t="str">
        <f t="shared" si="1"/>
        <v>2026</v>
      </c>
      <c r="B91" s="3" t="s">
        <v>32</v>
      </c>
      <c r="C91" t="s">
        <v>11</v>
      </c>
      <c r="D91">
        <v>1598.38</v>
      </c>
      <c r="E91">
        <v>3492926.81</v>
      </c>
      <c r="F91">
        <v>14557978.82</v>
      </c>
      <c r="G91">
        <v>18050906.829999998</v>
      </c>
      <c r="H91" t="s">
        <v>26</v>
      </c>
    </row>
    <row r="92" spans="1:8" x14ac:dyDescent="0.2">
      <c r="A92" t="str">
        <f t="shared" si="1"/>
        <v>2026</v>
      </c>
      <c r="B92" s="3" t="s">
        <v>32</v>
      </c>
      <c r="C92" t="s">
        <v>12</v>
      </c>
      <c r="D92">
        <v>3437.05</v>
      </c>
      <c r="E92">
        <v>10156168.6</v>
      </c>
      <c r="F92">
        <v>41443632.5</v>
      </c>
      <c r="G92">
        <v>51599801.109999999</v>
      </c>
      <c r="H92" t="s">
        <v>26</v>
      </c>
    </row>
    <row r="93" spans="1:8" x14ac:dyDescent="0.2">
      <c r="A93" t="str">
        <f t="shared" si="1"/>
        <v>2026</v>
      </c>
      <c r="B93" s="3" t="s">
        <v>32</v>
      </c>
      <c r="C93" t="s">
        <v>16</v>
      </c>
      <c r="D93">
        <v>347.04</v>
      </c>
      <c r="E93">
        <v>871661.83</v>
      </c>
      <c r="F93">
        <v>3926605.45</v>
      </c>
      <c r="G93">
        <v>4798268</v>
      </c>
      <c r="H93" t="s">
        <v>26</v>
      </c>
    </row>
    <row r="94" spans="1:8" x14ac:dyDescent="0.2">
      <c r="A94" t="str">
        <f t="shared" si="1"/>
        <v>2026</v>
      </c>
      <c r="B94" s="3" t="s">
        <v>33</v>
      </c>
      <c r="C94" t="s">
        <v>8</v>
      </c>
      <c r="D94">
        <v>1148.99</v>
      </c>
      <c r="E94">
        <v>2493022.16</v>
      </c>
      <c r="F94">
        <v>9725735.6699999999</v>
      </c>
      <c r="G94">
        <v>12218757.83</v>
      </c>
      <c r="H94" t="s">
        <v>26</v>
      </c>
    </row>
    <row r="95" spans="1:8" x14ac:dyDescent="0.2">
      <c r="A95" t="str">
        <f t="shared" si="1"/>
        <v>2026</v>
      </c>
      <c r="B95" s="3" t="s">
        <v>33</v>
      </c>
      <c r="C95" t="s">
        <v>10</v>
      </c>
      <c r="D95">
        <v>14948.24</v>
      </c>
      <c r="E95">
        <v>38430877.399999999</v>
      </c>
      <c r="F95">
        <v>149584152.28</v>
      </c>
      <c r="G95">
        <v>188015029.69</v>
      </c>
      <c r="H95" t="s">
        <v>26</v>
      </c>
    </row>
    <row r="96" spans="1:8" x14ac:dyDescent="0.2">
      <c r="A96" t="str">
        <f t="shared" si="1"/>
        <v>2026</v>
      </c>
      <c r="B96" s="3" t="s">
        <v>33</v>
      </c>
      <c r="C96" t="s">
        <v>11</v>
      </c>
      <c r="D96">
        <v>1469.55</v>
      </c>
      <c r="E96">
        <v>3211393.53</v>
      </c>
      <c r="F96">
        <v>13384591.640000001</v>
      </c>
      <c r="G96">
        <v>16595986.26</v>
      </c>
      <c r="H96" t="s">
        <v>26</v>
      </c>
    </row>
    <row r="97" spans="1:8" x14ac:dyDescent="0.2">
      <c r="A97" t="str">
        <f t="shared" si="1"/>
        <v>2026</v>
      </c>
      <c r="B97" s="3" t="s">
        <v>33</v>
      </c>
      <c r="C97" t="s">
        <v>12</v>
      </c>
      <c r="D97">
        <v>3160.02</v>
      </c>
      <c r="E97">
        <v>9337571.5800000001</v>
      </c>
      <c r="F97">
        <v>38103235.600000001</v>
      </c>
      <c r="G97">
        <v>47440807.18</v>
      </c>
      <c r="H97" t="s">
        <v>26</v>
      </c>
    </row>
    <row r="98" spans="1:8" x14ac:dyDescent="0.2">
      <c r="A98" t="str">
        <f t="shared" si="1"/>
        <v>2026</v>
      </c>
      <c r="B98" s="3" t="s">
        <v>33</v>
      </c>
      <c r="C98" t="s">
        <v>16</v>
      </c>
      <c r="D98">
        <v>319.07</v>
      </c>
      <c r="E98">
        <v>801405.04</v>
      </c>
      <c r="F98">
        <v>3610117.25</v>
      </c>
      <c r="G98">
        <v>4411522.95</v>
      </c>
      <c r="H98" t="s">
        <v>26</v>
      </c>
    </row>
    <row r="99" spans="1:8" x14ac:dyDescent="0.2">
      <c r="A99" t="str">
        <f t="shared" si="1"/>
        <v>2026</v>
      </c>
      <c r="B99" s="3" t="s">
        <v>34</v>
      </c>
      <c r="C99" t="s">
        <v>8</v>
      </c>
      <c r="D99">
        <v>1114.4000000000001</v>
      </c>
      <c r="E99">
        <v>2417982.6</v>
      </c>
      <c r="F99">
        <v>9432992.6199999992</v>
      </c>
      <c r="G99">
        <v>11850975.220000001</v>
      </c>
      <c r="H99" t="s">
        <v>26</v>
      </c>
    </row>
    <row r="100" spans="1:8" x14ac:dyDescent="0.2">
      <c r="A100" t="str">
        <f t="shared" si="1"/>
        <v>2026</v>
      </c>
      <c r="B100" s="3" t="s">
        <v>34</v>
      </c>
      <c r="C100" t="s">
        <v>10</v>
      </c>
      <c r="D100">
        <v>14498.3</v>
      </c>
      <c r="E100">
        <v>37274114.289999999</v>
      </c>
      <c r="F100">
        <v>145081693.81999999</v>
      </c>
      <c r="G100">
        <v>182355808.11000001</v>
      </c>
      <c r="H100" t="s">
        <v>26</v>
      </c>
    </row>
    <row r="101" spans="1:8" x14ac:dyDescent="0.2">
      <c r="A101" t="str">
        <f t="shared" si="1"/>
        <v>2026</v>
      </c>
      <c r="B101" s="3" t="s">
        <v>34</v>
      </c>
      <c r="C101" t="s">
        <v>11</v>
      </c>
      <c r="D101">
        <v>1425.32</v>
      </c>
      <c r="E101">
        <v>3114731.11</v>
      </c>
      <c r="F101">
        <v>12981717.619999999</v>
      </c>
      <c r="G101">
        <v>16096449.800000001</v>
      </c>
      <c r="H101" t="s">
        <v>26</v>
      </c>
    </row>
    <row r="102" spans="1:8" x14ac:dyDescent="0.2">
      <c r="A102" t="str">
        <f t="shared" si="1"/>
        <v>2026</v>
      </c>
      <c r="B102" s="3" t="s">
        <v>34</v>
      </c>
      <c r="C102" t="s">
        <v>12</v>
      </c>
      <c r="D102">
        <v>3064.9</v>
      </c>
      <c r="E102">
        <v>9056512.2100000009</v>
      </c>
      <c r="F102">
        <v>36956334.460000001</v>
      </c>
      <c r="G102">
        <v>46012846.659999996</v>
      </c>
      <c r="H102" t="s">
        <v>26</v>
      </c>
    </row>
    <row r="103" spans="1:8" x14ac:dyDescent="0.2">
      <c r="A103" t="str">
        <f t="shared" si="1"/>
        <v>2026</v>
      </c>
      <c r="B103" s="3" t="s">
        <v>34</v>
      </c>
      <c r="C103" t="s">
        <v>16</v>
      </c>
      <c r="D103">
        <v>309.47000000000003</v>
      </c>
      <c r="E103">
        <v>777282.88</v>
      </c>
      <c r="F103">
        <v>3501453.31</v>
      </c>
      <c r="G103">
        <v>4278736.83</v>
      </c>
      <c r="H103" t="s">
        <v>26</v>
      </c>
    </row>
    <row r="104" spans="1:8" x14ac:dyDescent="0.2">
      <c r="A104" t="str">
        <f t="shared" si="1"/>
        <v>2026</v>
      </c>
      <c r="B104" s="3" t="s">
        <v>35</v>
      </c>
      <c r="C104" t="s">
        <v>8</v>
      </c>
      <c r="D104">
        <v>907.81</v>
      </c>
      <c r="E104">
        <v>1969726.49</v>
      </c>
      <c r="F104">
        <v>7684263.5199999996</v>
      </c>
      <c r="G104">
        <v>9653990.0099999998</v>
      </c>
      <c r="H104" t="s">
        <v>26</v>
      </c>
    </row>
    <row r="105" spans="1:8" x14ac:dyDescent="0.2">
      <c r="A105" t="str">
        <f t="shared" si="1"/>
        <v>2026</v>
      </c>
      <c r="B105" s="3" t="s">
        <v>35</v>
      </c>
      <c r="C105" t="s">
        <v>10</v>
      </c>
      <c r="D105">
        <v>11810.54</v>
      </c>
      <c r="E105">
        <v>30364077.23</v>
      </c>
      <c r="F105">
        <v>118185819.81999999</v>
      </c>
      <c r="G105">
        <v>148549897.05000001</v>
      </c>
      <c r="H105" t="s">
        <v>26</v>
      </c>
    </row>
    <row r="106" spans="1:8" x14ac:dyDescent="0.2">
      <c r="A106" t="str">
        <f t="shared" si="1"/>
        <v>2026</v>
      </c>
      <c r="B106" s="3" t="s">
        <v>35</v>
      </c>
      <c r="C106" t="s">
        <v>11</v>
      </c>
      <c r="D106">
        <v>1161.0899999999999</v>
      </c>
      <c r="E106">
        <v>2537308.7400000002</v>
      </c>
      <c r="F106">
        <v>10575110.470000001</v>
      </c>
      <c r="G106">
        <v>13112420.08</v>
      </c>
      <c r="H106" t="s">
        <v>26</v>
      </c>
    </row>
    <row r="107" spans="1:8" x14ac:dyDescent="0.2">
      <c r="A107" t="str">
        <f t="shared" si="1"/>
        <v>2026</v>
      </c>
      <c r="B107" s="3" t="s">
        <v>35</v>
      </c>
      <c r="C107" t="s">
        <v>12</v>
      </c>
      <c r="D107">
        <v>2496.7199999999998</v>
      </c>
      <c r="E107">
        <v>7377576.6699999999</v>
      </c>
      <c r="F107">
        <v>30105208.800000001</v>
      </c>
      <c r="G107">
        <v>37482785.469999999</v>
      </c>
      <c r="H107" t="s">
        <v>26</v>
      </c>
    </row>
    <row r="108" spans="1:8" x14ac:dyDescent="0.2">
      <c r="A108" t="str">
        <f t="shared" si="1"/>
        <v>2026</v>
      </c>
      <c r="B108" s="3" t="s">
        <v>35</v>
      </c>
      <c r="C108" t="s">
        <v>16</v>
      </c>
      <c r="D108">
        <v>252.1</v>
      </c>
      <c r="E108">
        <v>633186.81000000006</v>
      </c>
      <c r="F108">
        <v>2852338.7</v>
      </c>
      <c r="G108">
        <v>3485526.03</v>
      </c>
      <c r="H108" t="s">
        <v>26</v>
      </c>
    </row>
    <row r="109" spans="1:8" x14ac:dyDescent="0.2">
      <c r="A109" t="str">
        <f t="shared" si="1"/>
        <v>2026</v>
      </c>
      <c r="B109" s="3" t="s">
        <v>36</v>
      </c>
      <c r="C109" t="s">
        <v>8</v>
      </c>
      <c r="D109">
        <v>954.15</v>
      </c>
      <c r="E109">
        <v>2070274.55</v>
      </c>
      <c r="F109">
        <v>8076519.8799999999</v>
      </c>
      <c r="G109">
        <v>10146794.42</v>
      </c>
      <c r="H109" t="s">
        <v>26</v>
      </c>
    </row>
    <row r="110" spans="1:8" x14ac:dyDescent="0.2">
      <c r="A110" t="str">
        <f t="shared" si="1"/>
        <v>2026</v>
      </c>
      <c r="B110" s="3" t="s">
        <v>36</v>
      </c>
      <c r="C110" t="s">
        <v>10</v>
      </c>
      <c r="D110">
        <v>12413.43</v>
      </c>
      <c r="E110">
        <v>31914063.440000001</v>
      </c>
      <c r="F110">
        <v>124218816.97</v>
      </c>
      <c r="G110">
        <v>156132880.41</v>
      </c>
      <c r="H110" t="s">
        <v>26</v>
      </c>
    </row>
    <row r="111" spans="1:8" x14ac:dyDescent="0.2">
      <c r="A111" t="str">
        <f t="shared" si="1"/>
        <v>2026</v>
      </c>
      <c r="B111" s="3" t="s">
        <v>36</v>
      </c>
      <c r="C111" t="s">
        <v>11</v>
      </c>
      <c r="D111">
        <v>1220.3599999999999</v>
      </c>
      <c r="E111">
        <v>2666830</v>
      </c>
      <c r="F111">
        <v>11114935.060000001</v>
      </c>
      <c r="G111">
        <v>13781765.970000001</v>
      </c>
      <c r="H111" t="s">
        <v>26</v>
      </c>
    </row>
    <row r="112" spans="1:8" x14ac:dyDescent="0.2">
      <c r="A112" t="str">
        <f t="shared" si="1"/>
        <v>2026</v>
      </c>
      <c r="B112" s="3" t="s">
        <v>36</v>
      </c>
      <c r="C112" t="s">
        <v>12</v>
      </c>
      <c r="D112">
        <v>2624.17</v>
      </c>
      <c r="E112">
        <v>7754177.6799999997</v>
      </c>
      <c r="F112">
        <v>31641980.629999999</v>
      </c>
      <c r="G112">
        <v>39396158.310000002</v>
      </c>
      <c r="H112" t="s">
        <v>26</v>
      </c>
    </row>
    <row r="113" spans="1:8" x14ac:dyDescent="0.2">
      <c r="A113" t="str">
        <f t="shared" si="1"/>
        <v>2026</v>
      </c>
      <c r="B113" s="3" t="s">
        <v>36</v>
      </c>
      <c r="C113" t="s">
        <v>16</v>
      </c>
      <c r="D113">
        <v>264.97000000000003</v>
      </c>
      <c r="E113">
        <v>665508.91</v>
      </c>
      <c r="F113">
        <v>2997941.21</v>
      </c>
      <c r="G113">
        <v>3663450.66</v>
      </c>
      <c r="H113" t="s">
        <v>26</v>
      </c>
    </row>
    <row r="114" spans="1:8" x14ac:dyDescent="0.2">
      <c r="A114" t="str">
        <f t="shared" si="1"/>
        <v>2027</v>
      </c>
      <c r="B114" s="3" t="s">
        <v>37</v>
      </c>
      <c r="C114" t="s">
        <v>8</v>
      </c>
      <c r="D114">
        <v>866.81</v>
      </c>
      <c r="E114">
        <v>1880759.24</v>
      </c>
      <c r="F114">
        <v>7337185.9900000002</v>
      </c>
      <c r="G114">
        <v>9217945.2300000004</v>
      </c>
      <c r="H114" t="s">
        <v>26</v>
      </c>
    </row>
    <row r="115" spans="1:8" x14ac:dyDescent="0.2">
      <c r="A115" t="str">
        <f t="shared" si="1"/>
        <v>2027</v>
      </c>
      <c r="B115" s="3" t="s">
        <v>37</v>
      </c>
      <c r="C115" t="s">
        <v>10</v>
      </c>
      <c r="D115">
        <v>11277.09</v>
      </c>
      <c r="E115">
        <v>28992613.48</v>
      </c>
      <c r="F115">
        <v>112847684.01000001</v>
      </c>
      <c r="G115">
        <v>141840297.47999999</v>
      </c>
      <c r="H115" t="s">
        <v>26</v>
      </c>
    </row>
    <row r="116" spans="1:8" x14ac:dyDescent="0.2">
      <c r="A116" t="str">
        <f t="shared" si="1"/>
        <v>2027</v>
      </c>
      <c r="B116" s="3" t="s">
        <v>37</v>
      </c>
      <c r="C116" t="s">
        <v>11</v>
      </c>
      <c r="D116">
        <v>1108.6400000000001</v>
      </c>
      <c r="E116">
        <v>2422705.3199999998</v>
      </c>
      <c r="F116">
        <v>10097461.16</v>
      </c>
      <c r="G116">
        <v>12520167.310000001</v>
      </c>
      <c r="H116" t="s">
        <v>26</v>
      </c>
    </row>
    <row r="117" spans="1:8" x14ac:dyDescent="0.2">
      <c r="A117" t="str">
        <f t="shared" si="1"/>
        <v>2027</v>
      </c>
      <c r="B117" s="3" t="s">
        <v>37</v>
      </c>
      <c r="C117" t="s">
        <v>12</v>
      </c>
      <c r="D117">
        <v>2383.9499999999998</v>
      </c>
      <c r="E117">
        <v>7044351.3600000003</v>
      </c>
      <c r="F117">
        <v>28745437.440000001</v>
      </c>
      <c r="G117">
        <v>35789788.799999997</v>
      </c>
      <c r="H117" t="s">
        <v>26</v>
      </c>
    </row>
    <row r="118" spans="1:8" x14ac:dyDescent="0.2">
      <c r="A118" t="str">
        <f t="shared" si="1"/>
        <v>2027</v>
      </c>
      <c r="B118" s="3" t="s">
        <v>37</v>
      </c>
      <c r="C118" t="s">
        <v>16</v>
      </c>
      <c r="D118">
        <v>240.71</v>
      </c>
      <c r="E118">
        <v>604587.46</v>
      </c>
      <c r="F118">
        <v>2723506.23</v>
      </c>
      <c r="G118">
        <v>3328094.19</v>
      </c>
      <c r="H118" t="s">
        <v>26</v>
      </c>
    </row>
    <row r="119" spans="1:8" x14ac:dyDescent="0.2">
      <c r="A119" t="str">
        <f t="shared" si="1"/>
        <v>2027</v>
      </c>
      <c r="B119" s="3" t="s">
        <v>37</v>
      </c>
      <c r="C119" t="s">
        <v>38</v>
      </c>
      <c r="D119">
        <v>110.86</v>
      </c>
      <c r="E119">
        <v>242270.53</v>
      </c>
      <c r="F119">
        <v>1009746.12</v>
      </c>
      <c r="G119">
        <v>1252016.73</v>
      </c>
      <c r="H119" t="s">
        <v>26</v>
      </c>
    </row>
    <row r="120" spans="1:8" x14ac:dyDescent="0.2">
      <c r="A120" t="str">
        <f t="shared" si="1"/>
        <v>2027</v>
      </c>
      <c r="B120" s="3" t="s">
        <v>39</v>
      </c>
      <c r="C120" t="s">
        <v>8</v>
      </c>
      <c r="D120">
        <v>825.98</v>
      </c>
      <c r="E120">
        <v>1792169.48</v>
      </c>
      <c r="F120">
        <v>6991581.1299999999</v>
      </c>
      <c r="G120">
        <v>8783750.6199999992</v>
      </c>
      <c r="H120" t="s">
        <v>26</v>
      </c>
    </row>
    <row r="121" spans="1:8" x14ac:dyDescent="0.2">
      <c r="A121" t="str">
        <f t="shared" si="1"/>
        <v>2027</v>
      </c>
      <c r="B121" s="3" t="s">
        <v>39</v>
      </c>
      <c r="C121" t="s">
        <v>10</v>
      </c>
      <c r="D121">
        <v>10745.9</v>
      </c>
      <c r="E121">
        <v>27626968.949999999</v>
      </c>
      <c r="F121">
        <v>107532198.31</v>
      </c>
      <c r="G121">
        <v>135159167.25</v>
      </c>
      <c r="H121" t="s">
        <v>26</v>
      </c>
    </row>
    <row r="122" spans="1:8" x14ac:dyDescent="0.2">
      <c r="A122" t="str">
        <f t="shared" si="1"/>
        <v>2027</v>
      </c>
      <c r="B122" s="3" t="s">
        <v>39</v>
      </c>
      <c r="C122" t="s">
        <v>11</v>
      </c>
      <c r="D122">
        <v>1056.42</v>
      </c>
      <c r="E122">
        <v>2308588.1800000002</v>
      </c>
      <c r="F122">
        <v>9621838.5399999991</v>
      </c>
      <c r="G122">
        <v>11930427.51</v>
      </c>
      <c r="H122" t="s">
        <v>26</v>
      </c>
    </row>
    <row r="123" spans="1:8" x14ac:dyDescent="0.2">
      <c r="A123" t="str">
        <f t="shared" si="1"/>
        <v>2027</v>
      </c>
      <c r="B123" s="3" t="s">
        <v>39</v>
      </c>
      <c r="C123" t="s">
        <v>12</v>
      </c>
      <c r="D123">
        <v>2271.66</v>
      </c>
      <c r="E123">
        <v>6712539.96</v>
      </c>
      <c r="F123">
        <v>27391435.690000001</v>
      </c>
      <c r="G123">
        <v>34103975.640000001</v>
      </c>
      <c r="H123" t="s">
        <v>26</v>
      </c>
    </row>
    <row r="124" spans="1:8" x14ac:dyDescent="0.2">
      <c r="A124" t="str">
        <f t="shared" si="1"/>
        <v>2027</v>
      </c>
      <c r="B124" s="3" t="s">
        <v>39</v>
      </c>
      <c r="C124" t="s">
        <v>16</v>
      </c>
      <c r="D124">
        <v>229.37</v>
      </c>
      <c r="E124">
        <v>576109.47</v>
      </c>
      <c r="F124">
        <v>2595220.4</v>
      </c>
      <c r="G124">
        <v>3171330.34</v>
      </c>
      <c r="H124" t="s">
        <v>26</v>
      </c>
    </row>
    <row r="125" spans="1:8" x14ac:dyDescent="0.2">
      <c r="A125" t="str">
        <f t="shared" si="1"/>
        <v>2027</v>
      </c>
      <c r="B125" s="3" t="s">
        <v>39</v>
      </c>
      <c r="C125" t="s">
        <v>38</v>
      </c>
      <c r="D125">
        <v>105.64</v>
      </c>
      <c r="E125">
        <v>230858.82</v>
      </c>
      <c r="F125">
        <v>962183.85</v>
      </c>
      <c r="G125">
        <v>1193042.75</v>
      </c>
      <c r="H125" t="s">
        <v>26</v>
      </c>
    </row>
    <row r="126" spans="1:8" x14ac:dyDescent="0.2">
      <c r="A126" t="str">
        <f t="shared" si="1"/>
        <v>2027</v>
      </c>
      <c r="B126" s="3" t="s">
        <v>40</v>
      </c>
      <c r="C126" t="s">
        <v>8</v>
      </c>
      <c r="D126">
        <v>1027.75</v>
      </c>
      <c r="E126">
        <v>2229960.2000000002</v>
      </c>
      <c r="F126">
        <v>8699482.8399999999</v>
      </c>
      <c r="G126">
        <v>10929443.039999999</v>
      </c>
      <c r="H126" t="s">
        <v>26</v>
      </c>
    </row>
    <row r="127" spans="1:8" x14ac:dyDescent="0.2">
      <c r="A127" t="str">
        <f t="shared" si="1"/>
        <v>2027</v>
      </c>
      <c r="B127" s="3" t="s">
        <v>40</v>
      </c>
      <c r="C127" t="s">
        <v>10</v>
      </c>
      <c r="D127">
        <v>13370.91</v>
      </c>
      <c r="E127">
        <v>34375678.079999998</v>
      </c>
      <c r="F127">
        <v>133800137.09</v>
      </c>
      <c r="G127">
        <v>168175815.18000001</v>
      </c>
      <c r="H127" t="s">
        <v>26</v>
      </c>
    </row>
    <row r="128" spans="1:8" x14ac:dyDescent="0.2">
      <c r="A128" t="str">
        <f t="shared" si="1"/>
        <v>2027</v>
      </c>
      <c r="B128" s="3" t="s">
        <v>40</v>
      </c>
      <c r="C128" t="s">
        <v>11</v>
      </c>
      <c r="D128">
        <v>1314.48</v>
      </c>
      <c r="E128">
        <v>2872529.53</v>
      </c>
      <c r="F128">
        <v>11972258.880000001</v>
      </c>
      <c r="G128">
        <v>14844789.390000001</v>
      </c>
      <c r="H128" t="s">
        <v>26</v>
      </c>
    </row>
    <row r="129" spans="1:8" x14ac:dyDescent="0.2">
      <c r="A129" t="str">
        <f t="shared" si="1"/>
        <v>2027</v>
      </c>
      <c r="B129" s="3" t="s">
        <v>40</v>
      </c>
      <c r="C129" t="s">
        <v>12</v>
      </c>
      <c r="D129">
        <v>2826.58</v>
      </c>
      <c r="E129">
        <v>8352277.5599999996</v>
      </c>
      <c r="F129">
        <v>34082608.82</v>
      </c>
      <c r="G129">
        <v>42434886.369999997</v>
      </c>
      <c r="H129" t="s">
        <v>26</v>
      </c>
    </row>
    <row r="130" spans="1:8" x14ac:dyDescent="0.2">
      <c r="A130" t="str">
        <f t="shared" si="1"/>
        <v>2027</v>
      </c>
      <c r="B130" s="3" t="s">
        <v>40</v>
      </c>
      <c r="C130" t="s">
        <v>16</v>
      </c>
      <c r="D130">
        <v>285.39999999999998</v>
      </c>
      <c r="E130">
        <v>716841.34</v>
      </c>
      <c r="F130">
        <v>3229180.2</v>
      </c>
      <c r="G130">
        <v>3946022.13</v>
      </c>
      <c r="H130" t="s">
        <v>26</v>
      </c>
    </row>
    <row r="131" spans="1:8" x14ac:dyDescent="0.2">
      <c r="A131" t="str">
        <f t="shared" ref="A131:A194" si="2">LEFT(B131,4)</f>
        <v>2027</v>
      </c>
      <c r="B131" s="3" t="s">
        <v>40</v>
      </c>
      <c r="C131" t="s">
        <v>38</v>
      </c>
      <c r="D131">
        <v>131.44999999999999</v>
      </c>
      <c r="E131">
        <v>287252.95</v>
      </c>
      <c r="F131">
        <v>1197225.8899999999</v>
      </c>
      <c r="G131">
        <v>1484478.94</v>
      </c>
      <c r="H131" t="s">
        <v>26</v>
      </c>
    </row>
    <row r="132" spans="1:8" x14ac:dyDescent="0.2">
      <c r="A132" t="str">
        <f t="shared" si="2"/>
        <v>2027</v>
      </c>
      <c r="B132" s="3" t="s">
        <v>41</v>
      </c>
      <c r="C132" t="s">
        <v>8</v>
      </c>
      <c r="D132">
        <v>1089.55</v>
      </c>
      <c r="E132">
        <v>2364069.88</v>
      </c>
      <c r="F132">
        <v>9222669.2300000004</v>
      </c>
      <c r="G132">
        <v>11586739.1</v>
      </c>
      <c r="H132" t="s">
        <v>26</v>
      </c>
    </row>
    <row r="133" spans="1:8" x14ac:dyDescent="0.2">
      <c r="A133" t="str">
        <f t="shared" si="2"/>
        <v>2027</v>
      </c>
      <c r="B133" s="3" t="s">
        <v>41</v>
      </c>
      <c r="C133" t="s">
        <v>10</v>
      </c>
      <c r="D133">
        <v>14175.04</v>
      </c>
      <c r="E133">
        <v>36443029.329999998</v>
      </c>
      <c r="F133">
        <v>141846869.44999999</v>
      </c>
      <c r="G133">
        <v>178289898.78</v>
      </c>
      <c r="H133" t="s">
        <v>26</v>
      </c>
    </row>
    <row r="134" spans="1:8" x14ac:dyDescent="0.2">
      <c r="A134" t="str">
        <f t="shared" si="2"/>
        <v>2027</v>
      </c>
      <c r="B134" s="3" t="s">
        <v>41</v>
      </c>
      <c r="C134" t="s">
        <v>11</v>
      </c>
      <c r="D134">
        <v>1393.54</v>
      </c>
      <c r="E134">
        <v>3045283.28</v>
      </c>
      <c r="F134">
        <v>12692269.82</v>
      </c>
      <c r="G134">
        <v>15737554.15</v>
      </c>
      <c r="H134" t="s">
        <v>26</v>
      </c>
    </row>
    <row r="135" spans="1:8" x14ac:dyDescent="0.2">
      <c r="A135" t="str">
        <f t="shared" si="2"/>
        <v>2027</v>
      </c>
      <c r="B135" s="3" t="s">
        <v>41</v>
      </c>
      <c r="C135" t="s">
        <v>12</v>
      </c>
      <c r="D135">
        <v>2996.57</v>
      </c>
      <c r="E135">
        <v>8854583.0399999991</v>
      </c>
      <c r="F135">
        <v>36132334.899999999</v>
      </c>
      <c r="G135">
        <v>44986917.93</v>
      </c>
      <c r="H135" t="s">
        <v>26</v>
      </c>
    </row>
    <row r="136" spans="1:8" x14ac:dyDescent="0.2">
      <c r="A136" t="str">
        <f t="shared" si="2"/>
        <v>2027</v>
      </c>
      <c r="B136" s="3" t="s">
        <v>41</v>
      </c>
      <c r="C136" t="s">
        <v>16</v>
      </c>
      <c r="D136">
        <v>302.57</v>
      </c>
      <c r="E136">
        <v>759952.14</v>
      </c>
      <c r="F136">
        <v>3423382.91</v>
      </c>
      <c r="G136">
        <v>4183335.67</v>
      </c>
      <c r="H136" t="s">
        <v>26</v>
      </c>
    </row>
    <row r="137" spans="1:8" x14ac:dyDescent="0.2">
      <c r="A137" t="str">
        <f t="shared" si="2"/>
        <v>2027</v>
      </c>
      <c r="B137" s="3" t="s">
        <v>41</v>
      </c>
      <c r="C137" t="s">
        <v>38</v>
      </c>
      <c r="D137">
        <v>139.35</v>
      </c>
      <c r="E137">
        <v>304528.33</v>
      </c>
      <c r="F137">
        <v>1269226.98</v>
      </c>
      <c r="G137">
        <v>1573755.42</v>
      </c>
      <c r="H137" t="s">
        <v>26</v>
      </c>
    </row>
    <row r="138" spans="1:8" x14ac:dyDescent="0.2">
      <c r="A138" t="str">
        <f t="shared" si="2"/>
        <v>2027</v>
      </c>
      <c r="B138" s="3" t="s">
        <v>42</v>
      </c>
      <c r="C138" t="s">
        <v>8</v>
      </c>
      <c r="D138">
        <v>1178.82</v>
      </c>
      <c r="E138">
        <v>2557755.19</v>
      </c>
      <c r="F138">
        <v>9978271.0999999996</v>
      </c>
      <c r="G138">
        <v>12536026.300000001</v>
      </c>
      <c r="H138" t="s">
        <v>26</v>
      </c>
    </row>
    <row r="139" spans="1:8" x14ac:dyDescent="0.2">
      <c r="A139" t="str">
        <f t="shared" si="2"/>
        <v>2027</v>
      </c>
      <c r="B139" s="3" t="s">
        <v>42</v>
      </c>
      <c r="C139" t="s">
        <v>10</v>
      </c>
      <c r="D139">
        <v>15336.38</v>
      </c>
      <c r="E139">
        <v>39428761.619999997</v>
      </c>
      <c r="F139">
        <v>153468207.90000001</v>
      </c>
      <c r="G139">
        <v>192896969.53</v>
      </c>
      <c r="H139" t="s">
        <v>26</v>
      </c>
    </row>
    <row r="140" spans="1:8" x14ac:dyDescent="0.2">
      <c r="A140" t="str">
        <f t="shared" si="2"/>
        <v>2027</v>
      </c>
      <c r="B140" s="3" t="s">
        <v>42</v>
      </c>
      <c r="C140" t="s">
        <v>11</v>
      </c>
      <c r="D140">
        <v>1507.71</v>
      </c>
      <c r="E140">
        <v>3294779.57</v>
      </c>
      <c r="F140">
        <v>13732131.779999999</v>
      </c>
      <c r="G140">
        <v>17026912.489999998</v>
      </c>
      <c r="H140" t="s">
        <v>26</v>
      </c>
    </row>
    <row r="141" spans="1:8" x14ac:dyDescent="0.2">
      <c r="A141" t="str">
        <f t="shared" si="2"/>
        <v>2027</v>
      </c>
      <c r="B141" s="3" t="s">
        <v>42</v>
      </c>
      <c r="C141" t="s">
        <v>12</v>
      </c>
      <c r="D141">
        <v>3242.07</v>
      </c>
      <c r="E141">
        <v>9580028.0600000005</v>
      </c>
      <c r="F141">
        <v>39092612.380000003</v>
      </c>
      <c r="G141">
        <v>48672640.439999998</v>
      </c>
      <c r="H141" t="s">
        <v>26</v>
      </c>
    </row>
    <row r="142" spans="1:8" x14ac:dyDescent="0.2">
      <c r="A142" t="str">
        <f t="shared" si="2"/>
        <v>2027</v>
      </c>
      <c r="B142" s="3" t="s">
        <v>42</v>
      </c>
      <c r="C142" t="s">
        <v>16</v>
      </c>
      <c r="D142">
        <v>327.36</v>
      </c>
      <c r="E142">
        <v>822214.08</v>
      </c>
      <c r="F142">
        <v>3703856.43</v>
      </c>
      <c r="G142">
        <v>4526071.1900000004</v>
      </c>
      <c r="H142" t="s">
        <v>26</v>
      </c>
    </row>
    <row r="143" spans="1:8" x14ac:dyDescent="0.2">
      <c r="A143" t="str">
        <f t="shared" si="2"/>
        <v>2027</v>
      </c>
      <c r="B143" s="3" t="s">
        <v>42</v>
      </c>
      <c r="C143" t="s">
        <v>38</v>
      </c>
      <c r="D143">
        <v>150.77000000000001</v>
      </c>
      <c r="E143">
        <v>329477.96000000002</v>
      </c>
      <c r="F143">
        <v>1373213.18</v>
      </c>
      <c r="G143">
        <v>1702691.25</v>
      </c>
      <c r="H143" t="s">
        <v>26</v>
      </c>
    </row>
    <row r="144" spans="1:8" x14ac:dyDescent="0.2">
      <c r="A144" t="str">
        <f t="shared" si="2"/>
        <v>2027</v>
      </c>
      <c r="B144" s="3" t="s">
        <v>43</v>
      </c>
      <c r="C144" t="s">
        <v>8</v>
      </c>
      <c r="D144">
        <v>1206.22</v>
      </c>
      <c r="E144">
        <v>2617201.89</v>
      </c>
      <c r="F144">
        <v>10210183.529999999</v>
      </c>
      <c r="G144">
        <v>12827385.42</v>
      </c>
      <c r="H144" t="s">
        <v>26</v>
      </c>
    </row>
    <row r="145" spans="1:8" x14ac:dyDescent="0.2">
      <c r="A145" t="str">
        <f t="shared" si="2"/>
        <v>2027</v>
      </c>
      <c r="B145" s="3" t="s">
        <v>43</v>
      </c>
      <c r="C145" t="s">
        <v>10</v>
      </c>
      <c r="D145">
        <v>15692.83</v>
      </c>
      <c r="E145">
        <v>40345154.82</v>
      </c>
      <c r="F145">
        <v>157035076.75999999</v>
      </c>
      <c r="G145">
        <v>197380231.58000001</v>
      </c>
      <c r="H145" t="s">
        <v>26</v>
      </c>
    </row>
    <row r="146" spans="1:8" x14ac:dyDescent="0.2">
      <c r="A146" t="str">
        <f t="shared" si="2"/>
        <v>2027</v>
      </c>
      <c r="B146" s="3" t="s">
        <v>43</v>
      </c>
      <c r="C146" t="s">
        <v>11</v>
      </c>
      <c r="D146">
        <v>1542.75</v>
      </c>
      <c r="E146">
        <v>3371356</v>
      </c>
      <c r="F146">
        <v>14051290.48</v>
      </c>
      <c r="G146">
        <v>17422647.629999999</v>
      </c>
      <c r="H146" t="s">
        <v>26</v>
      </c>
    </row>
    <row r="147" spans="1:8" x14ac:dyDescent="0.2">
      <c r="A147" t="str">
        <f t="shared" si="2"/>
        <v>2027</v>
      </c>
      <c r="B147" s="3" t="s">
        <v>43</v>
      </c>
      <c r="C147" t="s">
        <v>12</v>
      </c>
      <c r="D147">
        <v>3317.42</v>
      </c>
      <c r="E147">
        <v>9802684.6300000008</v>
      </c>
      <c r="F147">
        <v>40001192.880000003</v>
      </c>
      <c r="G147">
        <v>49803877.509999998</v>
      </c>
      <c r="H147" t="s">
        <v>26</v>
      </c>
    </row>
    <row r="148" spans="1:8" x14ac:dyDescent="0.2">
      <c r="A148" t="str">
        <f t="shared" si="2"/>
        <v>2027</v>
      </c>
      <c r="B148" s="3" t="s">
        <v>43</v>
      </c>
      <c r="C148" t="s">
        <v>16</v>
      </c>
      <c r="D148">
        <v>334.97</v>
      </c>
      <c r="E148">
        <v>841323.77</v>
      </c>
      <c r="F148">
        <v>3789940.52</v>
      </c>
      <c r="G148">
        <v>4631264.9800000004</v>
      </c>
      <c r="H148" t="s">
        <v>26</v>
      </c>
    </row>
    <row r="149" spans="1:8" x14ac:dyDescent="0.2">
      <c r="A149" t="str">
        <f t="shared" si="2"/>
        <v>2027</v>
      </c>
      <c r="B149" s="3" t="s">
        <v>43</v>
      </c>
      <c r="C149" t="s">
        <v>38</v>
      </c>
      <c r="D149">
        <v>154.27000000000001</v>
      </c>
      <c r="E149">
        <v>337135.6</v>
      </c>
      <c r="F149">
        <v>1405129.05</v>
      </c>
      <c r="G149">
        <v>1742264.76</v>
      </c>
      <c r="H149" t="s">
        <v>26</v>
      </c>
    </row>
    <row r="150" spans="1:8" x14ac:dyDescent="0.2">
      <c r="A150" t="str">
        <f t="shared" si="2"/>
        <v>2027</v>
      </c>
      <c r="B150" s="3" t="s">
        <v>44</v>
      </c>
      <c r="C150" t="s">
        <v>8</v>
      </c>
      <c r="D150">
        <v>1287.22</v>
      </c>
      <c r="E150">
        <v>2792962.93</v>
      </c>
      <c r="F150">
        <v>10895859.529999999</v>
      </c>
      <c r="G150">
        <v>13688822.460000001</v>
      </c>
      <c r="H150" t="s">
        <v>26</v>
      </c>
    </row>
    <row r="151" spans="1:8" x14ac:dyDescent="0.2">
      <c r="A151" t="str">
        <f t="shared" si="2"/>
        <v>2027</v>
      </c>
      <c r="B151" s="3" t="s">
        <v>44</v>
      </c>
      <c r="C151" t="s">
        <v>10</v>
      </c>
      <c r="D151">
        <v>16746.689999999999</v>
      </c>
      <c r="E151">
        <v>43054577.670000002</v>
      </c>
      <c r="F151">
        <v>167580938.49000001</v>
      </c>
      <c r="G151">
        <v>210635516.16</v>
      </c>
      <c r="H151" t="s">
        <v>26</v>
      </c>
    </row>
    <row r="152" spans="1:8" x14ac:dyDescent="0.2">
      <c r="A152" t="str">
        <f t="shared" si="2"/>
        <v>2027</v>
      </c>
      <c r="B152" s="3" t="s">
        <v>44</v>
      </c>
      <c r="C152" t="s">
        <v>11</v>
      </c>
      <c r="D152">
        <v>1646.35</v>
      </c>
      <c r="E152">
        <v>3597763.08</v>
      </c>
      <c r="F152">
        <v>14994920.210000001</v>
      </c>
      <c r="G152">
        <v>18592684.52</v>
      </c>
      <c r="H152" t="s">
        <v>26</v>
      </c>
    </row>
    <row r="153" spans="1:8" x14ac:dyDescent="0.2">
      <c r="A153" t="str">
        <f t="shared" si="2"/>
        <v>2027</v>
      </c>
      <c r="B153" s="3" t="s">
        <v>44</v>
      </c>
      <c r="C153" t="s">
        <v>12</v>
      </c>
      <c r="D153">
        <v>3540.21</v>
      </c>
      <c r="E153">
        <v>10460994.6</v>
      </c>
      <c r="F153">
        <v>42687516.590000004</v>
      </c>
      <c r="G153">
        <v>53148511.18</v>
      </c>
      <c r="H153" t="s">
        <v>26</v>
      </c>
    </row>
    <row r="154" spans="1:8" x14ac:dyDescent="0.2">
      <c r="A154" t="str">
        <f t="shared" si="2"/>
        <v>2027</v>
      </c>
      <c r="B154" s="3" t="s">
        <v>44</v>
      </c>
      <c r="C154" t="s">
        <v>16</v>
      </c>
      <c r="D154">
        <v>357.46</v>
      </c>
      <c r="E154">
        <v>897823.78</v>
      </c>
      <c r="F154">
        <v>4044458.1</v>
      </c>
      <c r="G154">
        <v>4942282.62</v>
      </c>
      <c r="H154" t="s">
        <v>26</v>
      </c>
    </row>
    <row r="155" spans="1:8" x14ac:dyDescent="0.2">
      <c r="A155" t="str">
        <f t="shared" si="2"/>
        <v>2027</v>
      </c>
      <c r="B155" s="3" t="s">
        <v>44</v>
      </c>
      <c r="C155" t="s">
        <v>38</v>
      </c>
      <c r="D155">
        <v>164.64</v>
      </c>
      <c r="E155">
        <v>359776.31</v>
      </c>
      <c r="F155">
        <v>1499492.02</v>
      </c>
      <c r="G155">
        <v>1859268.45</v>
      </c>
      <c r="H155" t="s">
        <v>26</v>
      </c>
    </row>
    <row r="156" spans="1:8" x14ac:dyDescent="0.2">
      <c r="A156" t="str">
        <f t="shared" si="2"/>
        <v>2027</v>
      </c>
      <c r="B156" s="3" t="s">
        <v>45</v>
      </c>
      <c r="C156" t="s">
        <v>8</v>
      </c>
      <c r="D156">
        <v>1301.43</v>
      </c>
      <c r="E156">
        <v>2823782.37</v>
      </c>
      <c r="F156">
        <v>11016091.789999999</v>
      </c>
      <c r="G156">
        <v>13839874.16</v>
      </c>
      <c r="H156" t="s">
        <v>26</v>
      </c>
    </row>
    <row r="157" spans="1:8" x14ac:dyDescent="0.2">
      <c r="A157" t="str">
        <f t="shared" si="2"/>
        <v>2027</v>
      </c>
      <c r="B157" s="3" t="s">
        <v>45</v>
      </c>
      <c r="C157" t="s">
        <v>10</v>
      </c>
      <c r="D157">
        <v>16931.490000000002</v>
      </c>
      <c r="E157">
        <v>43529670.890000001</v>
      </c>
      <c r="F157">
        <v>169430139.47999999</v>
      </c>
      <c r="G157">
        <v>212959810.37</v>
      </c>
      <c r="H157" t="s">
        <v>26</v>
      </c>
    </row>
    <row r="158" spans="1:8" x14ac:dyDescent="0.2">
      <c r="A158" t="str">
        <f t="shared" si="2"/>
        <v>2027</v>
      </c>
      <c r="B158" s="3" t="s">
        <v>45</v>
      </c>
      <c r="C158" t="s">
        <v>11</v>
      </c>
      <c r="D158">
        <v>1664.52</v>
      </c>
      <c r="E158">
        <v>3637463.23</v>
      </c>
      <c r="F158">
        <v>15160384.26</v>
      </c>
      <c r="G158">
        <v>18797848.73</v>
      </c>
      <c r="H158" t="s">
        <v>26</v>
      </c>
    </row>
    <row r="159" spans="1:8" x14ac:dyDescent="0.2">
      <c r="A159" t="str">
        <f t="shared" si="2"/>
        <v>2027</v>
      </c>
      <c r="B159" s="3" t="s">
        <v>45</v>
      </c>
      <c r="C159" t="s">
        <v>12</v>
      </c>
      <c r="D159">
        <v>3579.27</v>
      </c>
      <c r="E159">
        <v>10576428.26</v>
      </c>
      <c r="F159">
        <v>43158559.409999996</v>
      </c>
      <c r="G159">
        <v>53734987.670000002</v>
      </c>
      <c r="H159" t="s">
        <v>26</v>
      </c>
    </row>
    <row r="160" spans="1:8" x14ac:dyDescent="0.2">
      <c r="A160" t="str">
        <f t="shared" si="2"/>
        <v>2027</v>
      </c>
      <c r="B160" s="3" t="s">
        <v>45</v>
      </c>
      <c r="C160" t="s">
        <v>16</v>
      </c>
      <c r="D160">
        <v>361.41</v>
      </c>
      <c r="E160">
        <v>907730.98</v>
      </c>
      <c r="F160">
        <v>4089087.38</v>
      </c>
      <c r="G160">
        <v>4996819.0999999996</v>
      </c>
      <c r="H160" t="s">
        <v>26</v>
      </c>
    </row>
    <row r="161" spans="1:8" x14ac:dyDescent="0.2">
      <c r="A161" t="str">
        <f t="shared" si="2"/>
        <v>2027</v>
      </c>
      <c r="B161" s="3" t="s">
        <v>45</v>
      </c>
      <c r="C161" t="s">
        <v>38</v>
      </c>
      <c r="D161">
        <v>166.45</v>
      </c>
      <c r="E161">
        <v>363746.32</v>
      </c>
      <c r="F161">
        <v>1516038.43</v>
      </c>
      <c r="G161">
        <v>1879784.87</v>
      </c>
      <c r="H161" t="s">
        <v>26</v>
      </c>
    </row>
    <row r="162" spans="1:8" x14ac:dyDescent="0.2">
      <c r="A162" t="str">
        <f t="shared" si="2"/>
        <v>2027</v>
      </c>
      <c r="B162" s="3" t="s">
        <v>46</v>
      </c>
      <c r="C162" t="s">
        <v>8</v>
      </c>
      <c r="D162">
        <v>1196.53</v>
      </c>
      <c r="E162">
        <v>2596182.77</v>
      </c>
      <c r="F162">
        <v>10128184.130000001</v>
      </c>
      <c r="G162">
        <v>12724366.9</v>
      </c>
      <c r="H162" t="s">
        <v>26</v>
      </c>
    </row>
    <row r="163" spans="1:8" x14ac:dyDescent="0.2">
      <c r="A163" t="str">
        <f t="shared" si="2"/>
        <v>2027</v>
      </c>
      <c r="B163" s="3" t="s">
        <v>46</v>
      </c>
      <c r="C163" t="s">
        <v>10</v>
      </c>
      <c r="D163">
        <v>15566.79</v>
      </c>
      <c r="E163">
        <v>40021137.270000003</v>
      </c>
      <c r="F163">
        <v>155773906.21000001</v>
      </c>
      <c r="G163">
        <v>195795043.47999999</v>
      </c>
      <c r="H163" t="s">
        <v>26</v>
      </c>
    </row>
    <row r="164" spans="1:8" x14ac:dyDescent="0.2">
      <c r="A164" t="str">
        <f t="shared" si="2"/>
        <v>2027</v>
      </c>
      <c r="B164" s="3" t="s">
        <v>46</v>
      </c>
      <c r="C164" t="s">
        <v>11</v>
      </c>
      <c r="D164">
        <v>1530.36</v>
      </c>
      <c r="E164">
        <v>3344280.17</v>
      </c>
      <c r="F164">
        <v>13938442.609999999</v>
      </c>
      <c r="G164">
        <v>17282723.93</v>
      </c>
      <c r="H164" t="s">
        <v>26</v>
      </c>
    </row>
    <row r="165" spans="1:8" x14ac:dyDescent="0.2">
      <c r="A165" t="str">
        <f t="shared" si="2"/>
        <v>2027</v>
      </c>
      <c r="B165" s="3" t="s">
        <v>46</v>
      </c>
      <c r="C165" t="s">
        <v>12</v>
      </c>
      <c r="D165">
        <v>3290.78</v>
      </c>
      <c r="E165">
        <v>9723957.9000000004</v>
      </c>
      <c r="F165">
        <v>39679937.740000002</v>
      </c>
      <c r="G165">
        <v>49403895.640000001</v>
      </c>
      <c r="H165" t="s">
        <v>26</v>
      </c>
    </row>
    <row r="166" spans="1:8" x14ac:dyDescent="0.2">
      <c r="A166" t="str">
        <f t="shared" si="2"/>
        <v>2027</v>
      </c>
      <c r="B166" s="3" t="s">
        <v>46</v>
      </c>
      <c r="C166" t="s">
        <v>16</v>
      </c>
      <c r="D166">
        <v>332.28</v>
      </c>
      <c r="E166">
        <v>834566.98</v>
      </c>
      <c r="F166">
        <v>3759502.98</v>
      </c>
      <c r="G166">
        <v>4594070.6399999997</v>
      </c>
      <c r="H166" t="s">
        <v>26</v>
      </c>
    </row>
    <row r="167" spans="1:8" x14ac:dyDescent="0.2">
      <c r="A167" t="str">
        <f t="shared" si="2"/>
        <v>2027</v>
      </c>
      <c r="B167" s="3" t="s">
        <v>46</v>
      </c>
      <c r="C167" t="s">
        <v>38</v>
      </c>
      <c r="D167">
        <v>153.04</v>
      </c>
      <c r="E167">
        <v>334428.02</v>
      </c>
      <c r="F167">
        <v>1393844.26</v>
      </c>
      <c r="G167">
        <v>1728272.39</v>
      </c>
      <c r="H167" t="s">
        <v>26</v>
      </c>
    </row>
    <row r="168" spans="1:8" x14ac:dyDescent="0.2">
      <c r="A168" t="str">
        <f t="shared" si="2"/>
        <v>2027</v>
      </c>
      <c r="B168" s="3" t="s">
        <v>47</v>
      </c>
      <c r="C168" t="s">
        <v>8</v>
      </c>
      <c r="D168">
        <v>1160.51</v>
      </c>
      <c r="E168">
        <v>2518038.1</v>
      </c>
      <c r="F168">
        <v>9823327.4399999995</v>
      </c>
      <c r="G168">
        <v>12341365.539999999</v>
      </c>
      <c r="H168" t="s">
        <v>26</v>
      </c>
    </row>
    <row r="169" spans="1:8" x14ac:dyDescent="0.2">
      <c r="A169" t="str">
        <f t="shared" si="2"/>
        <v>2027</v>
      </c>
      <c r="B169" s="3" t="s">
        <v>47</v>
      </c>
      <c r="C169" t="s">
        <v>10</v>
      </c>
      <c r="D169">
        <v>15098.24</v>
      </c>
      <c r="E169">
        <v>38816507.600000001</v>
      </c>
      <c r="F169">
        <v>151085137.16999999</v>
      </c>
      <c r="G169">
        <v>189901644.77000001</v>
      </c>
      <c r="H169" t="s">
        <v>26</v>
      </c>
    </row>
    <row r="170" spans="1:8" x14ac:dyDescent="0.2">
      <c r="A170" t="str">
        <f t="shared" si="2"/>
        <v>2027</v>
      </c>
      <c r="B170" s="3" t="s">
        <v>47</v>
      </c>
      <c r="C170" t="s">
        <v>11</v>
      </c>
      <c r="D170">
        <v>1484.3</v>
      </c>
      <c r="E170">
        <v>3243617.88</v>
      </c>
      <c r="F170">
        <v>13518897.77</v>
      </c>
      <c r="G170">
        <v>16762516.77</v>
      </c>
      <c r="H170" t="s">
        <v>26</v>
      </c>
    </row>
    <row r="171" spans="1:8" x14ac:dyDescent="0.2">
      <c r="A171" t="str">
        <f t="shared" si="2"/>
        <v>2027</v>
      </c>
      <c r="B171" s="3" t="s">
        <v>47</v>
      </c>
      <c r="C171" t="s">
        <v>12</v>
      </c>
      <c r="D171">
        <v>3191.73</v>
      </c>
      <c r="E171">
        <v>9431268.3599999994</v>
      </c>
      <c r="F171">
        <v>38485578.109999999</v>
      </c>
      <c r="G171">
        <v>47916846.479999997</v>
      </c>
      <c r="H171" t="s">
        <v>26</v>
      </c>
    </row>
    <row r="172" spans="1:8" x14ac:dyDescent="0.2">
      <c r="A172" t="str">
        <f t="shared" si="2"/>
        <v>2027</v>
      </c>
      <c r="B172" s="3" t="s">
        <v>47</v>
      </c>
      <c r="C172" t="s">
        <v>16</v>
      </c>
      <c r="D172">
        <v>322.27</v>
      </c>
      <c r="E172">
        <v>809446.65</v>
      </c>
      <c r="F172">
        <v>3646342.55</v>
      </c>
      <c r="G172">
        <v>4455789.87</v>
      </c>
      <c r="H172" t="s">
        <v>26</v>
      </c>
    </row>
    <row r="173" spans="1:8" x14ac:dyDescent="0.2">
      <c r="A173" t="str">
        <f t="shared" si="2"/>
        <v>2027</v>
      </c>
      <c r="B173" s="3" t="s">
        <v>47</v>
      </c>
      <c r="C173" t="s">
        <v>38</v>
      </c>
      <c r="D173">
        <v>148.43</v>
      </c>
      <c r="E173">
        <v>324361.78999999998</v>
      </c>
      <c r="F173">
        <v>1351889.78</v>
      </c>
      <c r="G173">
        <v>1676251.68</v>
      </c>
      <c r="H173" t="s">
        <v>26</v>
      </c>
    </row>
    <row r="174" spans="1:8" x14ac:dyDescent="0.2">
      <c r="A174" t="str">
        <f t="shared" si="2"/>
        <v>2027</v>
      </c>
      <c r="B174" s="3" t="s">
        <v>48</v>
      </c>
      <c r="C174" t="s">
        <v>8</v>
      </c>
      <c r="D174">
        <v>945.37</v>
      </c>
      <c r="E174">
        <v>2051233.27</v>
      </c>
      <c r="F174">
        <v>8002236.3700000001</v>
      </c>
      <c r="G174">
        <v>10053469.640000001</v>
      </c>
      <c r="H174" t="s">
        <v>26</v>
      </c>
    </row>
    <row r="175" spans="1:8" x14ac:dyDescent="0.2">
      <c r="A175" t="str">
        <f t="shared" si="2"/>
        <v>2027</v>
      </c>
      <c r="B175" s="3" t="s">
        <v>48</v>
      </c>
      <c r="C175" t="s">
        <v>10</v>
      </c>
      <c r="D175">
        <v>12299.26</v>
      </c>
      <c r="E175">
        <v>31620534.969999999</v>
      </c>
      <c r="F175">
        <v>123076318.78</v>
      </c>
      <c r="G175">
        <v>154696853.75999999</v>
      </c>
      <c r="H175" t="s">
        <v>26</v>
      </c>
    </row>
    <row r="176" spans="1:8" x14ac:dyDescent="0.2">
      <c r="A176" t="str">
        <f t="shared" si="2"/>
        <v>2027</v>
      </c>
      <c r="B176" s="3" t="s">
        <v>48</v>
      </c>
      <c r="C176" t="s">
        <v>11</v>
      </c>
      <c r="D176">
        <v>1209.1300000000001</v>
      </c>
      <c r="E176">
        <v>2642301.92</v>
      </c>
      <c r="F176">
        <v>11012705.84</v>
      </c>
      <c r="G176">
        <v>13655008.67</v>
      </c>
      <c r="H176" t="s">
        <v>26</v>
      </c>
    </row>
    <row r="177" spans="1:8" x14ac:dyDescent="0.2">
      <c r="A177" t="str">
        <f t="shared" si="2"/>
        <v>2027</v>
      </c>
      <c r="B177" s="3" t="s">
        <v>48</v>
      </c>
      <c r="C177" t="s">
        <v>12</v>
      </c>
      <c r="D177">
        <v>2600.0300000000002</v>
      </c>
      <c r="E177">
        <v>7682858.9100000001</v>
      </c>
      <c r="F177">
        <v>31350954.629999999</v>
      </c>
      <c r="G177">
        <v>39033813.539999999</v>
      </c>
      <c r="H177" t="s">
        <v>26</v>
      </c>
    </row>
    <row r="178" spans="1:8" x14ac:dyDescent="0.2">
      <c r="A178" t="str">
        <f t="shared" si="2"/>
        <v>2027</v>
      </c>
      <c r="B178" s="3" t="s">
        <v>48</v>
      </c>
      <c r="C178" t="s">
        <v>16</v>
      </c>
      <c r="D178">
        <v>262.52999999999997</v>
      </c>
      <c r="E178">
        <v>659387.92000000004</v>
      </c>
      <c r="F178">
        <v>2970367.75</v>
      </c>
      <c r="G178">
        <v>3629756.21</v>
      </c>
      <c r="H178" t="s">
        <v>26</v>
      </c>
    </row>
    <row r="179" spans="1:8" x14ac:dyDescent="0.2">
      <c r="A179" t="str">
        <f t="shared" si="2"/>
        <v>2027</v>
      </c>
      <c r="B179" s="3" t="s">
        <v>48</v>
      </c>
      <c r="C179" t="s">
        <v>38</v>
      </c>
      <c r="D179">
        <v>120.91</v>
      </c>
      <c r="E179">
        <v>264230.19</v>
      </c>
      <c r="F179">
        <v>1101270.58</v>
      </c>
      <c r="G179">
        <v>1365500.87</v>
      </c>
      <c r="H179" t="s">
        <v>26</v>
      </c>
    </row>
    <row r="180" spans="1:8" x14ac:dyDescent="0.2">
      <c r="A180" t="str">
        <f t="shared" si="2"/>
        <v>2027</v>
      </c>
      <c r="B180" s="3" t="s">
        <v>49</v>
      </c>
      <c r="C180" t="s">
        <v>8</v>
      </c>
      <c r="D180">
        <v>993.63</v>
      </c>
      <c r="E180">
        <v>2155941.98</v>
      </c>
      <c r="F180">
        <v>8410724.1999999993</v>
      </c>
      <c r="G180">
        <v>10566666.18</v>
      </c>
      <c r="H180" t="s">
        <v>26</v>
      </c>
    </row>
    <row r="181" spans="1:8" x14ac:dyDescent="0.2">
      <c r="A181" t="str">
        <f t="shared" si="2"/>
        <v>2027</v>
      </c>
      <c r="B181" s="3" t="s">
        <v>49</v>
      </c>
      <c r="C181" t="s">
        <v>10</v>
      </c>
      <c r="D181">
        <v>12927.1</v>
      </c>
      <c r="E181">
        <v>33234659.219999999</v>
      </c>
      <c r="F181">
        <v>129358959.81</v>
      </c>
      <c r="G181">
        <v>162593619.03</v>
      </c>
      <c r="H181" t="s">
        <v>26</v>
      </c>
    </row>
    <row r="182" spans="1:8" x14ac:dyDescent="0.2">
      <c r="A182" t="str">
        <f t="shared" si="2"/>
        <v>2027</v>
      </c>
      <c r="B182" s="3" t="s">
        <v>49</v>
      </c>
      <c r="C182" t="s">
        <v>11</v>
      </c>
      <c r="D182">
        <v>1270.8499999999999</v>
      </c>
      <c r="E182">
        <v>2777182.74</v>
      </c>
      <c r="F182">
        <v>11574868.23</v>
      </c>
      <c r="G182">
        <v>14352051.92</v>
      </c>
      <c r="H182" t="s">
        <v>26</v>
      </c>
    </row>
    <row r="183" spans="1:8" x14ac:dyDescent="0.2">
      <c r="A183" t="str">
        <f t="shared" si="2"/>
        <v>2027</v>
      </c>
      <c r="B183" s="3" t="s">
        <v>49</v>
      </c>
      <c r="C183" t="s">
        <v>12</v>
      </c>
      <c r="D183">
        <v>2732.75</v>
      </c>
      <c r="E183">
        <v>8075043.5700000003</v>
      </c>
      <c r="F183">
        <v>32951317.690000001</v>
      </c>
      <c r="G183">
        <v>41026361.259999998</v>
      </c>
      <c r="H183" t="s">
        <v>26</v>
      </c>
    </row>
    <row r="184" spans="1:8" x14ac:dyDescent="0.2">
      <c r="A184" t="str">
        <f t="shared" si="2"/>
        <v>2027</v>
      </c>
      <c r="B184" s="3" t="s">
        <v>49</v>
      </c>
      <c r="C184" t="s">
        <v>16</v>
      </c>
      <c r="D184">
        <v>275.93</v>
      </c>
      <c r="E184">
        <v>693047.5</v>
      </c>
      <c r="F184">
        <v>3121995.25</v>
      </c>
      <c r="G184">
        <v>3815043.32</v>
      </c>
      <c r="H184" t="s">
        <v>26</v>
      </c>
    </row>
    <row r="185" spans="1:8" x14ac:dyDescent="0.2">
      <c r="A185" t="str">
        <f t="shared" si="2"/>
        <v>2027</v>
      </c>
      <c r="B185" s="3" t="s">
        <v>49</v>
      </c>
      <c r="C185" t="s">
        <v>38</v>
      </c>
      <c r="D185">
        <v>127.09</v>
      </c>
      <c r="E185">
        <v>277718.27</v>
      </c>
      <c r="F185">
        <v>1157486.82</v>
      </c>
      <c r="G185">
        <v>1435205.19</v>
      </c>
      <c r="H185" t="s">
        <v>26</v>
      </c>
    </row>
    <row r="186" spans="1:8" x14ac:dyDescent="0.2">
      <c r="A186" t="str">
        <f t="shared" si="2"/>
        <v>2028</v>
      </c>
      <c r="B186" s="3" t="s">
        <v>50</v>
      </c>
      <c r="C186" t="s">
        <v>8</v>
      </c>
      <c r="D186">
        <v>902.67</v>
      </c>
      <c r="E186">
        <v>1958584.58</v>
      </c>
      <c r="F186">
        <v>7640796.8600000003</v>
      </c>
      <c r="G186">
        <v>9599381.4399999995</v>
      </c>
      <c r="H186" t="s">
        <v>26</v>
      </c>
    </row>
    <row r="187" spans="1:8" x14ac:dyDescent="0.2">
      <c r="A187" t="str">
        <f t="shared" si="2"/>
        <v>2028</v>
      </c>
      <c r="B187" s="3" t="s">
        <v>50</v>
      </c>
      <c r="C187" t="s">
        <v>10</v>
      </c>
      <c r="D187">
        <v>11743.73</v>
      </c>
      <c r="E187">
        <v>30192320.399999999</v>
      </c>
      <c r="F187">
        <v>117517292.28</v>
      </c>
      <c r="G187">
        <v>147709612.68000001</v>
      </c>
      <c r="H187" t="s">
        <v>26</v>
      </c>
    </row>
    <row r="188" spans="1:8" x14ac:dyDescent="0.2">
      <c r="A188" t="str">
        <f t="shared" si="2"/>
        <v>2028</v>
      </c>
      <c r="B188" s="3" t="s">
        <v>50</v>
      </c>
      <c r="C188" t="s">
        <v>11</v>
      </c>
      <c r="D188">
        <v>1154.52</v>
      </c>
      <c r="E188">
        <v>2522956.25</v>
      </c>
      <c r="F188">
        <v>10515291.51</v>
      </c>
      <c r="G188">
        <v>13038248.630000001</v>
      </c>
      <c r="H188" t="s">
        <v>26</v>
      </c>
    </row>
    <row r="189" spans="1:8" x14ac:dyDescent="0.2">
      <c r="A189" t="str">
        <f t="shared" si="2"/>
        <v>2028</v>
      </c>
      <c r="B189" s="3" t="s">
        <v>50</v>
      </c>
      <c r="C189" t="s">
        <v>12</v>
      </c>
      <c r="D189">
        <v>2482.6</v>
      </c>
      <c r="E189">
        <v>7335844.8200000003</v>
      </c>
      <c r="F189">
        <v>29934916.280000001</v>
      </c>
      <c r="G189">
        <v>37270761.100000001</v>
      </c>
      <c r="H189" t="s">
        <v>26</v>
      </c>
    </row>
    <row r="190" spans="1:8" x14ac:dyDescent="0.2">
      <c r="A190" t="str">
        <f t="shared" si="2"/>
        <v>2028</v>
      </c>
      <c r="B190" s="3" t="s">
        <v>50</v>
      </c>
      <c r="C190" t="s">
        <v>16</v>
      </c>
      <c r="D190">
        <v>250.67</v>
      </c>
      <c r="E190">
        <v>629605.14</v>
      </c>
      <c r="F190">
        <v>2836204.22</v>
      </c>
      <c r="G190">
        <v>3465809.87</v>
      </c>
      <c r="H190" t="s">
        <v>26</v>
      </c>
    </row>
    <row r="191" spans="1:8" x14ac:dyDescent="0.2">
      <c r="A191" t="str">
        <f t="shared" si="2"/>
        <v>2028</v>
      </c>
      <c r="B191" s="3" t="s">
        <v>50</v>
      </c>
      <c r="C191" t="s">
        <v>38</v>
      </c>
      <c r="D191">
        <v>230.9</v>
      </c>
      <c r="E191">
        <v>504591.25</v>
      </c>
      <c r="F191">
        <v>2103058.2999999998</v>
      </c>
      <c r="G191">
        <v>2607649.73</v>
      </c>
      <c r="H191" t="s">
        <v>26</v>
      </c>
    </row>
    <row r="192" spans="1:8" x14ac:dyDescent="0.2">
      <c r="A192" t="str">
        <f t="shared" si="2"/>
        <v>2028</v>
      </c>
      <c r="B192" s="3" t="s">
        <v>51</v>
      </c>
      <c r="C192" t="s">
        <v>8</v>
      </c>
      <c r="D192">
        <v>860.15</v>
      </c>
      <c r="E192">
        <v>1866329</v>
      </c>
      <c r="F192">
        <v>7280890.9699999997</v>
      </c>
      <c r="G192">
        <v>9147219.9700000007</v>
      </c>
      <c r="H192" t="s">
        <v>26</v>
      </c>
    </row>
    <row r="193" spans="1:8" x14ac:dyDescent="0.2">
      <c r="A193" t="str">
        <f t="shared" si="2"/>
        <v>2028</v>
      </c>
      <c r="B193" s="3" t="s">
        <v>51</v>
      </c>
      <c r="C193" t="s">
        <v>10</v>
      </c>
      <c r="D193">
        <v>11190.57</v>
      </c>
      <c r="E193">
        <v>28770165.850000001</v>
      </c>
      <c r="F193">
        <v>111981853.14</v>
      </c>
      <c r="G193">
        <v>140752018.99000001</v>
      </c>
      <c r="H193" t="s">
        <v>26</v>
      </c>
    </row>
    <row r="194" spans="1:8" x14ac:dyDescent="0.2">
      <c r="A194" t="str">
        <f t="shared" si="2"/>
        <v>2028</v>
      </c>
      <c r="B194" s="3" t="s">
        <v>51</v>
      </c>
      <c r="C194" t="s">
        <v>11</v>
      </c>
      <c r="D194">
        <v>1100.1400000000001</v>
      </c>
      <c r="E194">
        <v>2404116.96</v>
      </c>
      <c r="F194">
        <v>10019987.76</v>
      </c>
      <c r="G194">
        <v>12424105.550000001</v>
      </c>
      <c r="H194" t="s">
        <v>26</v>
      </c>
    </row>
    <row r="195" spans="1:8" x14ac:dyDescent="0.2">
      <c r="A195" t="str">
        <f t="shared" ref="A195:A258" si="3">LEFT(B195,4)</f>
        <v>2028</v>
      </c>
      <c r="B195" s="3" t="s">
        <v>51</v>
      </c>
      <c r="C195" t="s">
        <v>12</v>
      </c>
      <c r="D195">
        <v>2365.66</v>
      </c>
      <c r="E195">
        <v>6990303.1399999997</v>
      </c>
      <c r="F195">
        <v>28524886.280000001</v>
      </c>
      <c r="G195">
        <v>35515189.420000002</v>
      </c>
      <c r="H195" t="s">
        <v>26</v>
      </c>
    </row>
    <row r="196" spans="1:8" x14ac:dyDescent="0.2">
      <c r="A196" t="str">
        <f t="shared" si="3"/>
        <v>2028</v>
      </c>
      <c r="B196" s="3" t="s">
        <v>51</v>
      </c>
      <c r="C196" t="s">
        <v>16</v>
      </c>
      <c r="D196">
        <v>238.86</v>
      </c>
      <c r="E196">
        <v>599948.73</v>
      </c>
      <c r="F196">
        <v>2702609.96</v>
      </c>
      <c r="G196">
        <v>3302559.18</v>
      </c>
      <c r="H196" t="s">
        <v>26</v>
      </c>
    </row>
    <row r="197" spans="1:8" x14ac:dyDescent="0.2">
      <c r="A197" t="str">
        <f t="shared" si="3"/>
        <v>2028</v>
      </c>
      <c r="B197" s="3" t="s">
        <v>51</v>
      </c>
      <c r="C197" t="s">
        <v>38</v>
      </c>
      <c r="D197">
        <v>220.03</v>
      </c>
      <c r="E197">
        <v>480823.39</v>
      </c>
      <c r="F197">
        <v>2003997.55</v>
      </c>
      <c r="G197">
        <v>2484821.11</v>
      </c>
      <c r="H197" t="s">
        <v>26</v>
      </c>
    </row>
    <row r="198" spans="1:8" x14ac:dyDescent="0.2">
      <c r="A198" t="str">
        <f t="shared" si="3"/>
        <v>2028</v>
      </c>
      <c r="B198" s="3" t="s">
        <v>52</v>
      </c>
      <c r="C198" t="s">
        <v>8</v>
      </c>
      <c r="D198">
        <v>1070.27</v>
      </c>
      <c r="E198">
        <v>2322235.38</v>
      </c>
      <c r="F198">
        <v>9059465.2200000007</v>
      </c>
      <c r="G198">
        <v>11381700.6</v>
      </c>
      <c r="H198" t="s">
        <v>26</v>
      </c>
    </row>
    <row r="199" spans="1:8" x14ac:dyDescent="0.2">
      <c r="A199" t="str">
        <f t="shared" si="3"/>
        <v>2028</v>
      </c>
      <c r="B199" s="3" t="s">
        <v>52</v>
      </c>
      <c r="C199" t="s">
        <v>10</v>
      </c>
      <c r="D199">
        <v>13924.2</v>
      </c>
      <c r="E199">
        <v>35798134.840000004</v>
      </c>
      <c r="F199">
        <v>139336752.50999999</v>
      </c>
      <c r="G199">
        <v>175134887.34999999</v>
      </c>
      <c r="H199" t="s">
        <v>26</v>
      </c>
    </row>
    <row r="200" spans="1:8" x14ac:dyDescent="0.2">
      <c r="A200" t="str">
        <f t="shared" si="3"/>
        <v>2028</v>
      </c>
      <c r="B200" s="3" t="s">
        <v>52</v>
      </c>
      <c r="C200" t="s">
        <v>11</v>
      </c>
      <c r="D200">
        <v>1368.88</v>
      </c>
      <c r="E200">
        <v>2991394.06</v>
      </c>
      <c r="F200">
        <v>12467667.890000001</v>
      </c>
      <c r="G200">
        <v>15459062.98</v>
      </c>
      <c r="H200" t="s">
        <v>26</v>
      </c>
    </row>
    <row r="201" spans="1:8" x14ac:dyDescent="0.2">
      <c r="A201" t="str">
        <f t="shared" si="3"/>
        <v>2028</v>
      </c>
      <c r="B201" s="3" t="s">
        <v>52</v>
      </c>
      <c r="C201" t="s">
        <v>12</v>
      </c>
      <c r="D201">
        <v>2943.54</v>
      </c>
      <c r="E201">
        <v>8697892.6600000001</v>
      </c>
      <c r="F201">
        <v>35492938.439999998</v>
      </c>
      <c r="G201">
        <v>44190831.109999999</v>
      </c>
      <c r="H201" t="s">
        <v>26</v>
      </c>
    </row>
    <row r="202" spans="1:8" x14ac:dyDescent="0.2">
      <c r="A202" t="str">
        <f t="shared" si="3"/>
        <v>2028</v>
      </c>
      <c r="B202" s="3" t="s">
        <v>52</v>
      </c>
      <c r="C202" t="s">
        <v>16</v>
      </c>
      <c r="D202">
        <v>297.20999999999998</v>
      </c>
      <c r="E202">
        <v>746504.06</v>
      </c>
      <c r="F202">
        <v>3362802.85</v>
      </c>
      <c r="G202">
        <v>4109307.52</v>
      </c>
      <c r="H202" t="s">
        <v>26</v>
      </c>
    </row>
    <row r="203" spans="1:8" x14ac:dyDescent="0.2">
      <c r="A203" t="str">
        <f t="shared" si="3"/>
        <v>2028</v>
      </c>
      <c r="B203" s="3" t="s">
        <v>52</v>
      </c>
      <c r="C203" t="s">
        <v>38</v>
      </c>
      <c r="D203">
        <v>273.77999999999997</v>
      </c>
      <c r="E203">
        <v>598278.81000000006</v>
      </c>
      <c r="F203">
        <v>2493533.58</v>
      </c>
      <c r="G203">
        <v>3091812.6</v>
      </c>
      <c r="H203" t="s">
        <v>26</v>
      </c>
    </row>
    <row r="204" spans="1:8" x14ac:dyDescent="0.2">
      <c r="A204" t="str">
        <f t="shared" si="3"/>
        <v>2028</v>
      </c>
      <c r="B204" s="3" t="s">
        <v>53</v>
      </c>
      <c r="C204" t="s">
        <v>8</v>
      </c>
      <c r="D204">
        <v>1134.6400000000001</v>
      </c>
      <c r="E204">
        <v>2461894.48</v>
      </c>
      <c r="F204">
        <v>9604300.9199999999</v>
      </c>
      <c r="G204">
        <v>12066195.4</v>
      </c>
      <c r="H204" t="s">
        <v>26</v>
      </c>
    </row>
    <row r="205" spans="1:8" x14ac:dyDescent="0.2">
      <c r="A205" t="str">
        <f t="shared" si="3"/>
        <v>2028</v>
      </c>
      <c r="B205" s="3" t="s">
        <v>53</v>
      </c>
      <c r="C205" t="s">
        <v>10</v>
      </c>
      <c r="D205">
        <v>14761.6</v>
      </c>
      <c r="E205">
        <v>37951032.560000002</v>
      </c>
      <c r="F205">
        <v>147716456.59</v>
      </c>
      <c r="G205">
        <v>185667489.15000001</v>
      </c>
      <c r="H205" t="s">
        <v>26</v>
      </c>
    </row>
    <row r="206" spans="1:8" x14ac:dyDescent="0.2">
      <c r="A206" t="str">
        <f t="shared" si="3"/>
        <v>2028</v>
      </c>
      <c r="B206" s="3" t="s">
        <v>53</v>
      </c>
      <c r="C206" t="s">
        <v>11</v>
      </c>
      <c r="D206">
        <v>1451.2</v>
      </c>
      <c r="E206">
        <v>3171296.32</v>
      </c>
      <c r="F206">
        <v>13217472.699999999</v>
      </c>
      <c r="G206">
        <v>16388770.109999999</v>
      </c>
      <c r="H206" t="s">
        <v>26</v>
      </c>
    </row>
    <row r="207" spans="1:8" x14ac:dyDescent="0.2">
      <c r="A207" t="str">
        <f t="shared" si="3"/>
        <v>2028</v>
      </c>
      <c r="B207" s="3" t="s">
        <v>53</v>
      </c>
      <c r="C207" t="s">
        <v>12</v>
      </c>
      <c r="D207">
        <v>3120.56</v>
      </c>
      <c r="E207">
        <v>9220983.4100000001</v>
      </c>
      <c r="F207">
        <v>37627481.670000002</v>
      </c>
      <c r="G207">
        <v>46848465.079999998</v>
      </c>
      <c r="H207" t="s">
        <v>26</v>
      </c>
    </row>
    <row r="208" spans="1:8" x14ac:dyDescent="0.2">
      <c r="A208" t="str">
        <f t="shared" si="3"/>
        <v>2028</v>
      </c>
      <c r="B208" s="3" t="s">
        <v>53</v>
      </c>
      <c r="C208" t="s">
        <v>16</v>
      </c>
      <c r="D208">
        <v>315.08999999999997</v>
      </c>
      <c r="E208">
        <v>791398.77</v>
      </c>
      <c r="F208">
        <v>3565041.62</v>
      </c>
      <c r="G208">
        <v>4356441.03</v>
      </c>
      <c r="H208" t="s">
        <v>26</v>
      </c>
    </row>
    <row r="209" spans="1:8" x14ac:dyDescent="0.2">
      <c r="A209" t="str">
        <f t="shared" si="3"/>
        <v>2028</v>
      </c>
      <c r="B209" s="3" t="s">
        <v>53</v>
      </c>
      <c r="C209" t="s">
        <v>38</v>
      </c>
      <c r="D209">
        <v>290.24</v>
      </c>
      <c r="E209">
        <v>634259.26</v>
      </c>
      <c r="F209">
        <v>2643494.54</v>
      </c>
      <c r="G209">
        <v>3277754.02</v>
      </c>
      <c r="H209" t="s">
        <v>26</v>
      </c>
    </row>
    <row r="210" spans="1:8" x14ac:dyDescent="0.2">
      <c r="A210" t="str">
        <f t="shared" si="3"/>
        <v>2028</v>
      </c>
      <c r="B210" s="3" t="s">
        <v>54</v>
      </c>
      <c r="C210" t="s">
        <v>8</v>
      </c>
      <c r="D210">
        <v>1227.5999999999999</v>
      </c>
      <c r="E210">
        <v>2663594.4500000002</v>
      </c>
      <c r="F210">
        <v>10391169.41</v>
      </c>
      <c r="G210">
        <v>13054763.859999999</v>
      </c>
      <c r="H210" t="s">
        <v>26</v>
      </c>
    </row>
    <row r="211" spans="1:8" x14ac:dyDescent="0.2">
      <c r="A211" t="str">
        <f t="shared" si="3"/>
        <v>2028</v>
      </c>
      <c r="B211" s="3" t="s">
        <v>54</v>
      </c>
      <c r="C211" t="s">
        <v>10</v>
      </c>
      <c r="D211">
        <v>15971</v>
      </c>
      <c r="E211">
        <v>41060313.689999998</v>
      </c>
      <c r="F211">
        <v>159818683.06</v>
      </c>
      <c r="G211">
        <v>200878996.74000001</v>
      </c>
      <c r="H211" t="s">
        <v>26</v>
      </c>
    </row>
    <row r="212" spans="1:8" x14ac:dyDescent="0.2">
      <c r="A212" t="str">
        <f t="shared" si="3"/>
        <v>2028</v>
      </c>
      <c r="B212" s="3" t="s">
        <v>54</v>
      </c>
      <c r="C212" t="s">
        <v>11</v>
      </c>
      <c r="D212">
        <v>1570.1</v>
      </c>
      <c r="E212">
        <v>3431116.71</v>
      </c>
      <c r="F212">
        <v>14300363.880000001</v>
      </c>
      <c r="G212">
        <v>17731481.760000002</v>
      </c>
      <c r="H212" t="s">
        <v>26</v>
      </c>
    </row>
    <row r="213" spans="1:8" x14ac:dyDescent="0.2">
      <c r="A213" t="str">
        <f t="shared" si="3"/>
        <v>2028</v>
      </c>
      <c r="B213" s="3" t="s">
        <v>54</v>
      </c>
      <c r="C213" t="s">
        <v>12</v>
      </c>
      <c r="D213">
        <v>3376.23</v>
      </c>
      <c r="E213">
        <v>9976447.1699999999</v>
      </c>
      <c r="F213">
        <v>40710254.670000002</v>
      </c>
      <c r="G213">
        <v>50686701.840000004</v>
      </c>
      <c r="H213" t="s">
        <v>26</v>
      </c>
    </row>
    <row r="214" spans="1:8" x14ac:dyDescent="0.2">
      <c r="A214" t="str">
        <f t="shared" si="3"/>
        <v>2028</v>
      </c>
      <c r="B214" s="3" t="s">
        <v>54</v>
      </c>
      <c r="C214" t="s">
        <v>16</v>
      </c>
      <c r="D214">
        <v>340.9</v>
      </c>
      <c r="E214">
        <v>856237.09</v>
      </c>
      <c r="F214">
        <v>3857121.06</v>
      </c>
      <c r="G214">
        <v>4713358.8499999996</v>
      </c>
      <c r="H214" t="s">
        <v>26</v>
      </c>
    </row>
    <row r="215" spans="1:8" x14ac:dyDescent="0.2">
      <c r="A215" t="str">
        <f t="shared" si="3"/>
        <v>2028</v>
      </c>
      <c r="B215" s="3" t="s">
        <v>54</v>
      </c>
      <c r="C215" t="s">
        <v>38</v>
      </c>
      <c r="D215">
        <v>314.02</v>
      </c>
      <c r="E215">
        <v>686223.34</v>
      </c>
      <c r="F215">
        <v>2860072.78</v>
      </c>
      <c r="G215">
        <v>3546296.35</v>
      </c>
      <c r="H215" t="s">
        <v>26</v>
      </c>
    </row>
    <row r="216" spans="1:8" x14ac:dyDescent="0.2">
      <c r="A216" t="str">
        <f t="shared" si="3"/>
        <v>2028</v>
      </c>
      <c r="B216" s="3" t="s">
        <v>55</v>
      </c>
      <c r="C216" t="s">
        <v>8</v>
      </c>
      <c r="D216">
        <v>1256.1300000000001</v>
      </c>
      <c r="E216">
        <v>2725501.03</v>
      </c>
      <c r="F216">
        <v>10632678.310000001</v>
      </c>
      <c r="G216">
        <v>13358179.34</v>
      </c>
      <c r="H216" t="s">
        <v>26</v>
      </c>
    </row>
    <row r="217" spans="1:8" x14ac:dyDescent="0.2">
      <c r="A217" t="str">
        <f t="shared" si="3"/>
        <v>2028</v>
      </c>
      <c r="B217" s="3" t="s">
        <v>55</v>
      </c>
      <c r="C217" t="s">
        <v>10</v>
      </c>
      <c r="D217">
        <v>16342.19</v>
      </c>
      <c r="E217">
        <v>42014627</v>
      </c>
      <c r="F217">
        <v>163533148.03999999</v>
      </c>
      <c r="G217">
        <v>205547775.03999999</v>
      </c>
      <c r="H217" t="s">
        <v>26</v>
      </c>
    </row>
    <row r="218" spans="1:8" x14ac:dyDescent="0.2">
      <c r="A218" t="str">
        <f t="shared" si="3"/>
        <v>2028</v>
      </c>
      <c r="B218" s="3" t="s">
        <v>55</v>
      </c>
      <c r="C218" t="s">
        <v>11</v>
      </c>
      <c r="D218">
        <v>1606.59</v>
      </c>
      <c r="E218">
        <v>3510861.84</v>
      </c>
      <c r="F218">
        <v>14632729.279999999</v>
      </c>
      <c r="G218">
        <v>18143592.329999998</v>
      </c>
      <c r="H218" t="s">
        <v>26</v>
      </c>
    </row>
    <row r="219" spans="1:8" x14ac:dyDescent="0.2">
      <c r="A219" t="str">
        <f t="shared" si="3"/>
        <v>2028</v>
      </c>
      <c r="B219" s="3" t="s">
        <v>55</v>
      </c>
      <c r="C219" t="s">
        <v>12</v>
      </c>
      <c r="D219">
        <v>3454.7</v>
      </c>
      <c r="E219">
        <v>10208317.210000001</v>
      </c>
      <c r="F219">
        <v>41656432</v>
      </c>
      <c r="G219">
        <v>51864749.210000001</v>
      </c>
      <c r="H219" t="s">
        <v>26</v>
      </c>
    </row>
    <row r="220" spans="1:8" x14ac:dyDescent="0.2">
      <c r="A220" t="str">
        <f t="shared" si="3"/>
        <v>2028</v>
      </c>
      <c r="B220" s="3" t="s">
        <v>55</v>
      </c>
      <c r="C220" t="s">
        <v>16</v>
      </c>
      <c r="D220">
        <v>348.83</v>
      </c>
      <c r="E220">
        <v>876137.53</v>
      </c>
      <c r="F220">
        <v>3946767.29</v>
      </c>
      <c r="G220">
        <v>4822905.53</v>
      </c>
      <c r="H220" t="s">
        <v>26</v>
      </c>
    </row>
    <row r="221" spans="1:8" x14ac:dyDescent="0.2">
      <c r="A221" t="str">
        <f t="shared" si="3"/>
        <v>2028</v>
      </c>
      <c r="B221" s="3" t="s">
        <v>55</v>
      </c>
      <c r="C221" t="s">
        <v>38</v>
      </c>
      <c r="D221">
        <v>321.32</v>
      </c>
      <c r="E221">
        <v>702172.37</v>
      </c>
      <c r="F221">
        <v>2926545.86</v>
      </c>
      <c r="G221">
        <v>3628718.47</v>
      </c>
      <c r="H221" t="s">
        <v>26</v>
      </c>
    </row>
    <row r="222" spans="1:8" x14ac:dyDescent="0.2">
      <c r="A222" t="str">
        <f t="shared" si="3"/>
        <v>2028</v>
      </c>
      <c r="B222" s="3" t="s">
        <v>56</v>
      </c>
      <c r="C222" t="s">
        <v>8</v>
      </c>
      <c r="D222">
        <v>1340.49</v>
      </c>
      <c r="E222">
        <v>2908535.02</v>
      </c>
      <c r="F222">
        <v>11346727.41</v>
      </c>
      <c r="G222">
        <v>14255262.43</v>
      </c>
      <c r="H222" t="s">
        <v>26</v>
      </c>
    </row>
    <row r="223" spans="1:8" x14ac:dyDescent="0.2">
      <c r="A223" t="str">
        <f t="shared" si="3"/>
        <v>2028</v>
      </c>
      <c r="B223" s="3" t="s">
        <v>56</v>
      </c>
      <c r="C223" t="s">
        <v>10</v>
      </c>
      <c r="D223">
        <v>17439.669999999998</v>
      </c>
      <c r="E223">
        <v>44836165.07</v>
      </c>
      <c r="F223">
        <v>174515394.81999999</v>
      </c>
      <c r="G223">
        <v>219351559.88999999</v>
      </c>
      <c r="H223" t="s">
        <v>26</v>
      </c>
    </row>
    <row r="224" spans="1:8" x14ac:dyDescent="0.2">
      <c r="A224" t="str">
        <f t="shared" si="3"/>
        <v>2028</v>
      </c>
      <c r="B224" s="3" t="s">
        <v>56</v>
      </c>
      <c r="C224" t="s">
        <v>11</v>
      </c>
      <c r="D224">
        <v>1714.48</v>
      </c>
      <c r="E224">
        <v>3746637.6</v>
      </c>
      <c r="F224">
        <v>15615406.16</v>
      </c>
      <c r="G224">
        <v>19362045.050000001</v>
      </c>
      <c r="H224" t="s">
        <v>26</v>
      </c>
    </row>
    <row r="225" spans="1:8" x14ac:dyDescent="0.2">
      <c r="A225" t="str">
        <f t="shared" si="3"/>
        <v>2028</v>
      </c>
      <c r="B225" s="3" t="s">
        <v>56</v>
      </c>
      <c r="C225" t="s">
        <v>12</v>
      </c>
      <c r="D225">
        <v>3686.7</v>
      </c>
      <c r="E225">
        <v>10893867.880000001</v>
      </c>
      <c r="F225">
        <v>44453915.090000004</v>
      </c>
      <c r="G225">
        <v>55347782.969999999</v>
      </c>
      <c r="H225" t="s">
        <v>26</v>
      </c>
    </row>
    <row r="226" spans="1:8" x14ac:dyDescent="0.2">
      <c r="A226" t="str">
        <f t="shared" si="3"/>
        <v>2028</v>
      </c>
      <c r="B226" s="3" t="s">
        <v>56</v>
      </c>
      <c r="C226" t="s">
        <v>16</v>
      </c>
      <c r="D226">
        <v>372.25</v>
      </c>
      <c r="E226">
        <v>934975.5</v>
      </c>
      <c r="F226">
        <v>4211816.74</v>
      </c>
      <c r="G226">
        <v>5146793.01</v>
      </c>
      <c r="H226" t="s">
        <v>26</v>
      </c>
    </row>
    <row r="227" spans="1:8" x14ac:dyDescent="0.2">
      <c r="A227" t="str">
        <f t="shared" si="3"/>
        <v>2028</v>
      </c>
      <c r="B227" s="3" t="s">
        <v>56</v>
      </c>
      <c r="C227" t="s">
        <v>38</v>
      </c>
      <c r="D227">
        <v>342.9</v>
      </c>
      <c r="E227">
        <v>749327.52</v>
      </c>
      <c r="F227">
        <v>3123081.23</v>
      </c>
      <c r="G227">
        <v>3872409.01</v>
      </c>
      <c r="H227" t="s">
        <v>26</v>
      </c>
    </row>
    <row r="228" spans="1:8" x14ac:dyDescent="0.2">
      <c r="A228" t="str">
        <f t="shared" si="3"/>
        <v>2028</v>
      </c>
      <c r="B228" s="3" t="s">
        <v>57</v>
      </c>
      <c r="C228" t="s">
        <v>8</v>
      </c>
      <c r="D228">
        <v>1355.28</v>
      </c>
      <c r="E228">
        <v>2940629.76</v>
      </c>
      <c r="F228">
        <v>11471934.85</v>
      </c>
      <c r="G228">
        <v>14412564.6</v>
      </c>
      <c r="H228" t="s">
        <v>26</v>
      </c>
    </row>
    <row r="229" spans="1:8" x14ac:dyDescent="0.2">
      <c r="A229" t="str">
        <f t="shared" si="3"/>
        <v>2028</v>
      </c>
      <c r="B229" s="3" t="s">
        <v>57</v>
      </c>
      <c r="C229" t="s">
        <v>10</v>
      </c>
      <c r="D229">
        <v>17632.11</v>
      </c>
      <c r="E229">
        <v>45330917.520000003</v>
      </c>
      <c r="F229">
        <v>176441115.28</v>
      </c>
      <c r="G229">
        <v>221772032.80000001</v>
      </c>
      <c r="H229" t="s">
        <v>26</v>
      </c>
    </row>
    <row r="230" spans="1:8" x14ac:dyDescent="0.2">
      <c r="A230" t="str">
        <f t="shared" si="3"/>
        <v>2028</v>
      </c>
      <c r="B230" s="3" t="s">
        <v>57</v>
      </c>
      <c r="C230" t="s">
        <v>11</v>
      </c>
      <c r="D230">
        <v>1733.4</v>
      </c>
      <c r="E230">
        <v>3787980.52</v>
      </c>
      <c r="F230">
        <v>15787717.08</v>
      </c>
      <c r="G230">
        <v>19575698.899999999</v>
      </c>
      <c r="H230" t="s">
        <v>26</v>
      </c>
    </row>
    <row r="231" spans="1:8" x14ac:dyDescent="0.2">
      <c r="A231" t="str">
        <f t="shared" si="3"/>
        <v>2028</v>
      </c>
      <c r="B231" s="3" t="s">
        <v>57</v>
      </c>
      <c r="C231" t="s">
        <v>12</v>
      </c>
      <c r="D231">
        <v>3727.38</v>
      </c>
      <c r="E231">
        <v>11014078.15</v>
      </c>
      <c r="F231">
        <v>44944449.549999997</v>
      </c>
      <c r="G231">
        <v>55958527.700000003</v>
      </c>
      <c r="H231" t="s">
        <v>26</v>
      </c>
    </row>
    <row r="232" spans="1:8" x14ac:dyDescent="0.2">
      <c r="A232" t="str">
        <f t="shared" si="3"/>
        <v>2028</v>
      </c>
      <c r="B232" s="3" t="s">
        <v>57</v>
      </c>
      <c r="C232" t="s">
        <v>16</v>
      </c>
      <c r="D232">
        <v>376.36</v>
      </c>
      <c r="E232">
        <v>945292.65</v>
      </c>
      <c r="F232">
        <v>4258292.7699999996</v>
      </c>
      <c r="G232">
        <v>5203586.1900000004</v>
      </c>
      <c r="H232" t="s">
        <v>26</v>
      </c>
    </row>
    <row r="233" spans="1:8" x14ac:dyDescent="0.2">
      <c r="A233" t="str">
        <f t="shared" si="3"/>
        <v>2028</v>
      </c>
      <c r="B233" s="3" t="s">
        <v>57</v>
      </c>
      <c r="C233" t="s">
        <v>38</v>
      </c>
      <c r="D233">
        <v>346.68</v>
      </c>
      <c r="E233">
        <v>757596.1</v>
      </c>
      <c r="F233">
        <v>3157543.42</v>
      </c>
      <c r="G233">
        <v>3915139.78</v>
      </c>
      <c r="H233" t="s">
        <v>26</v>
      </c>
    </row>
    <row r="234" spans="1:8" x14ac:dyDescent="0.2">
      <c r="A234" t="str">
        <f t="shared" si="3"/>
        <v>2028</v>
      </c>
      <c r="B234" s="3" t="s">
        <v>58</v>
      </c>
      <c r="C234" t="s">
        <v>8</v>
      </c>
      <c r="D234">
        <v>1246.04</v>
      </c>
      <c r="E234">
        <v>2703612.15</v>
      </c>
      <c r="F234">
        <v>10547285.789999999</v>
      </c>
      <c r="G234">
        <v>13250897.939999999</v>
      </c>
      <c r="H234" t="s">
        <v>26</v>
      </c>
    </row>
    <row r="235" spans="1:8" x14ac:dyDescent="0.2">
      <c r="A235" t="str">
        <f t="shared" si="3"/>
        <v>2028</v>
      </c>
      <c r="B235" s="3" t="s">
        <v>58</v>
      </c>
      <c r="C235" t="s">
        <v>10</v>
      </c>
      <c r="D235">
        <v>16210.94</v>
      </c>
      <c r="E235">
        <v>41677201.689999998</v>
      </c>
      <c r="F235">
        <v>162219790.56999999</v>
      </c>
      <c r="G235">
        <v>203896992.25999999</v>
      </c>
      <c r="H235" t="s">
        <v>26</v>
      </c>
    </row>
    <row r="236" spans="1:8" x14ac:dyDescent="0.2">
      <c r="A236" t="str">
        <f t="shared" si="3"/>
        <v>2028</v>
      </c>
      <c r="B236" s="3" t="s">
        <v>58</v>
      </c>
      <c r="C236" t="s">
        <v>11</v>
      </c>
      <c r="D236">
        <v>1593.69</v>
      </c>
      <c r="E236">
        <v>3482665.62</v>
      </c>
      <c r="F236">
        <v>14515211.800000001</v>
      </c>
      <c r="G236">
        <v>17997878.620000001</v>
      </c>
      <c r="H236" t="s">
        <v>26</v>
      </c>
    </row>
    <row r="237" spans="1:8" x14ac:dyDescent="0.2">
      <c r="A237" t="str">
        <f t="shared" si="3"/>
        <v>2028</v>
      </c>
      <c r="B237" s="3" t="s">
        <v>58</v>
      </c>
      <c r="C237" t="s">
        <v>12</v>
      </c>
      <c r="D237">
        <v>3426.95</v>
      </c>
      <c r="E237">
        <v>10126332.789999999</v>
      </c>
      <c r="F237">
        <v>41321883.399999999</v>
      </c>
      <c r="G237">
        <v>51448216.189999998</v>
      </c>
      <c r="H237" t="s">
        <v>26</v>
      </c>
    </row>
    <row r="238" spans="1:8" x14ac:dyDescent="0.2">
      <c r="A238" t="str">
        <f t="shared" si="3"/>
        <v>2028</v>
      </c>
      <c r="B238" s="3" t="s">
        <v>58</v>
      </c>
      <c r="C238" t="s">
        <v>16</v>
      </c>
      <c r="D238">
        <v>346.03</v>
      </c>
      <c r="E238">
        <v>869101.15</v>
      </c>
      <c r="F238">
        <v>3915070.25</v>
      </c>
      <c r="G238">
        <v>4784172.1100000003</v>
      </c>
      <c r="H238" t="s">
        <v>26</v>
      </c>
    </row>
    <row r="239" spans="1:8" x14ac:dyDescent="0.2">
      <c r="A239" t="str">
        <f t="shared" si="3"/>
        <v>2028</v>
      </c>
      <c r="B239" s="3" t="s">
        <v>58</v>
      </c>
      <c r="C239" t="s">
        <v>38</v>
      </c>
      <c r="D239">
        <v>318.74</v>
      </c>
      <c r="E239">
        <v>696533.12</v>
      </c>
      <c r="F239">
        <v>2903042.36</v>
      </c>
      <c r="G239">
        <v>3599575.72</v>
      </c>
      <c r="H239" t="s">
        <v>26</v>
      </c>
    </row>
    <row r="240" spans="1:8" x14ac:dyDescent="0.2">
      <c r="A240" t="str">
        <f t="shared" si="3"/>
        <v>2028</v>
      </c>
      <c r="B240" s="3" t="s">
        <v>59</v>
      </c>
      <c r="C240" t="s">
        <v>8</v>
      </c>
      <c r="D240">
        <v>1208.54</v>
      </c>
      <c r="E240">
        <v>2622233.87</v>
      </c>
      <c r="F240">
        <v>10229814.220000001</v>
      </c>
      <c r="G240">
        <v>12852048.09</v>
      </c>
      <c r="H240" t="s">
        <v>26</v>
      </c>
    </row>
    <row r="241" spans="1:8" x14ac:dyDescent="0.2">
      <c r="A241" t="str">
        <f t="shared" si="3"/>
        <v>2028</v>
      </c>
      <c r="B241" s="3" t="s">
        <v>59</v>
      </c>
      <c r="C241" t="s">
        <v>10</v>
      </c>
      <c r="D241">
        <v>15723</v>
      </c>
      <c r="E241">
        <v>40422724.75</v>
      </c>
      <c r="F241">
        <v>157337001.46000001</v>
      </c>
      <c r="G241">
        <v>197759726.21000001</v>
      </c>
      <c r="H241" t="s">
        <v>26</v>
      </c>
    </row>
    <row r="242" spans="1:8" x14ac:dyDescent="0.2">
      <c r="A242" t="str">
        <f t="shared" si="3"/>
        <v>2028</v>
      </c>
      <c r="B242" s="3" t="s">
        <v>59</v>
      </c>
      <c r="C242" t="s">
        <v>11</v>
      </c>
      <c r="D242">
        <v>1545.72</v>
      </c>
      <c r="E242">
        <v>3377837.96</v>
      </c>
      <c r="F242">
        <v>14078306.300000001</v>
      </c>
      <c r="G242">
        <v>17456145.420000002</v>
      </c>
      <c r="H242" t="s">
        <v>26</v>
      </c>
    </row>
    <row r="243" spans="1:8" x14ac:dyDescent="0.2">
      <c r="A243" t="str">
        <f t="shared" si="3"/>
        <v>2028</v>
      </c>
      <c r="B243" s="3" t="s">
        <v>59</v>
      </c>
      <c r="C243" t="s">
        <v>12</v>
      </c>
      <c r="D243">
        <v>3323.8</v>
      </c>
      <c r="E243">
        <v>9821531.8300000001</v>
      </c>
      <c r="F243">
        <v>40078101.479999997</v>
      </c>
      <c r="G243">
        <v>49899633.32</v>
      </c>
      <c r="H243" t="s">
        <v>26</v>
      </c>
    </row>
    <row r="244" spans="1:8" x14ac:dyDescent="0.2">
      <c r="A244" t="str">
        <f t="shared" si="3"/>
        <v>2028</v>
      </c>
      <c r="B244" s="3" t="s">
        <v>59</v>
      </c>
      <c r="C244" t="s">
        <v>16</v>
      </c>
      <c r="D244">
        <v>335.61</v>
      </c>
      <c r="E244">
        <v>842941.35</v>
      </c>
      <c r="F244">
        <v>3797227.28</v>
      </c>
      <c r="G244">
        <v>4640169.3099999996</v>
      </c>
      <c r="H244" t="s">
        <v>26</v>
      </c>
    </row>
    <row r="245" spans="1:8" x14ac:dyDescent="0.2">
      <c r="A245" t="str">
        <f t="shared" si="3"/>
        <v>2028</v>
      </c>
      <c r="B245" s="3" t="s">
        <v>59</v>
      </c>
      <c r="C245" t="s">
        <v>38</v>
      </c>
      <c r="D245">
        <v>309.14</v>
      </c>
      <c r="E245">
        <v>675567.59</v>
      </c>
      <c r="F245">
        <v>2815661.26</v>
      </c>
      <c r="G245">
        <v>3491229.08</v>
      </c>
      <c r="H245" t="s">
        <v>26</v>
      </c>
    </row>
    <row r="246" spans="1:8" x14ac:dyDescent="0.2">
      <c r="A246" t="str">
        <f t="shared" si="3"/>
        <v>2028</v>
      </c>
      <c r="B246" s="3" t="s">
        <v>60</v>
      </c>
      <c r="C246" t="s">
        <v>8</v>
      </c>
      <c r="D246">
        <v>984.49</v>
      </c>
      <c r="E246">
        <v>2136112.7799999998</v>
      </c>
      <c r="F246">
        <v>8333366.8600000003</v>
      </c>
      <c r="G246">
        <v>10469479.640000001</v>
      </c>
      <c r="H246" t="s">
        <v>26</v>
      </c>
    </row>
    <row r="247" spans="1:8" x14ac:dyDescent="0.2">
      <c r="A247" t="str">
        <f t="shared" si="3"/>
        <v>2028</v>
      </c>
      <c r="B247" s="3" t="s">
        <v>60</v>
      </c>
      <c r="C247" t="s">
        <v>10</v>
      </c>
      <c r="D247">
        <v>12808.2</v>
      </c>
      <c r="E247">
        <v>32928984.609999999</v>
      </c>
      <c r="F247">
        <v>128169185.34999999</v>
      </c>
      <c r="G247">
        <v>161098169.96000001</v>
      </c>
      <c r="H247" t="s">
        <v>26</v>
      </c>
    </row>
    <row r="248" spans="1:8" x14ac:dyDescent="0.2">
      <c r="A248" t="str">
        <f t="shared" si="3"/>
        <v>2028</v>
      </c>
      <c r="B248" s="3" t="s">
        <v>60</v>
      </c>
      <c r="C248" t="s">
        <v>11</v>
      </c>
      <c r="D248">
        <v>1259.1600000000001</v>
      </c>
      <c r="E248">
        <v>2751639.7</v>
      </c>
      <c r="F248">
        <v>11468408.779999999</v>
      </c>
      <c r="G248">
        <v>14220049.43</v>
      </c>
      <c r="H248" t="s">
        <v>26</v>
      </c>
    </row>
    <row r="249" spans="1:8" x14ac:dyDescent="0.2">
      <c r="A249" t="str">
        <f t="shared" si="3"/>
        <v>2028</v>
      </c>
      <c r="B249" s="3" t="s">
        <v>60</v>
      </c>
      <c r="C249" t="s">
        <v>12</v>
      </c>
      <c r="D249">
        <v>2707.62</v>
      </c>
      <c r="E249">
        <v>8000773.6399999997</v>
      </c>
      <c r="F249">
        <v>32648249.109999999</v>
      </c>
      <c r="G249">
        <v>40649022.75</v>
      </c>
      <c r="H249" t="s">
        <v>26</v>
      </c>
    </row>
    <row r="250" spans="1:8" x14ac:dyDescent="0.2">
      <c r="A250" t="str">
        <f t="shared" si="3"/>
        <v>2028</v>
      </c>
      <c r="B250" s="3" t="s">
        <v>60</v>
      </c>
      <c r="C250" t="s">
        <v>16</v>
      </c>
      <c r="D250">
        <v>273.39</v>
      </c>
      <c r="E250">
        <v>686673.22</v>
      </c>
      <c r="F250">
        <v>3093280.8</v>
      </c>
      <c r="G250">
        <v>3779954.59</v>
      </c>
      <c r="H250" t="s">
        <v>26</v>
      </c>
    </row>
    <row r="251" spans="1:8" x14ac:dyDescent="0.2">
      <c r="A251" t="str">
        <f t="shared" si="3"/>
        <v>2028</v>
      </c>
      <c r="B251" s="3" t="s">
        <v>60</v>
      </c>
      <c r="C251" t="s">
        <v>38</v>
      </c>
      <c r="D251">
        <v>251.83</v>
      </c>
      <c r="E251">
        <v>550327.93999999994</v>
      </c>
      <c r="F251">
        <v>2293681.7599999998</v>
      </c>
      <c r="G251">
        <v>2844009.89</v>
      </c>
      <c r="H251" t="s">
        <v>26</v>
      </c>
    </row>
    <row r="252" spans="1:8" x14ac:dyDescent="0.2">
      <c r="A252" t="str">
        <f t="shared" si="3"/>
        <v>2028</v>
      </c>
      <c r="B252" s="3" t="s">
        <v>61</v>
      </c>
      <c r="C252" t="s">
        <v>8</v>
      </c>
      <c r="D252">
        <v>1034.75</v>
      </c>
      <c r="E252">
        <v>2245154.2999999998</v>
      </c>
      <c r="F252">
        <v>8758757.8200000003</v>
      </c>
      <c r="G252">
        <v>11003912.119999999</v>
      </c>
      <c r="H252" t="s">
        <v>26</v>
      </c>
    </row>
    <row r="253" spans="1:8" x14ac:dyDescent="0.2">
      <c r="A253" t="str">
        <f t="shared" si="3"/>
        <v>2028</v>
      </c>
      <c r="B253" s="3" t="s">
        <v>61</v>
      </c>
      <c r="C253" t="s">
        <v>10</v>
      </c>
      <c r="D253">
        <v>13462.02</v>
      </c>
      <c r="E253">
        <v>34609900.909999996</v>
      </c>
      <c r="F253">
        <v>134711800.44999999</v>
      </c>
      <c r="G253">
        <v>169321701.36000001</v>
      </c>
      <c r="H253" t="s">
        <v>26</v>
      </c>
    </row>
    <row r="254" spans="1:8" x14ac:dyDescent="0.2">
      <c r="A254" t="str">
        <f t="shared" si="3"/>
        <v>2028</v>
      </c>
      <c r="B254" s="3" t="s">
        <v>61</v>
      </c>
      <c r="C254" t="s">
        <v>11</v>
      </c>
      <c r="D254">
        <v>1323.44</v>
      </c>
      <c r="E254">
        <v>2892101.85</v>
      </c>
      <c r="F254">
        <v>12053833.310000001</v>
      </c>
      <c r="G254">
        <v>14945936.15</v>
      </c>
      <c r="H254" t="s">
        <v>26</v>
      </c>
    </row>
    <row r="255" spans="1:8" x14ac:dyDescent="0.2">
      <c r="A255" t="str">
        <f t="shared" si="3"/>
        <v>2028</v>
      </c>
      <c r="B255" s="3" t="s">
        <v>61</v>
      </c>
      <c r="C255" t="s">
        <v>12</v>
      </c>
      <c r="D255">
        <v>2845.84</v>
      </c>
      <c r="E255">
        <v>8409186.8100000005</v>
      </c>
      <c r="F255">
        <v>34314834.780000001</v>
      </c>
      <c r="G255">
        <v>42724021.579999998</v>
      </c>
      <c r="H255" t="s">
        <v>26</v>
      </c>
    </row>
    <row r="256" spans="1:8" x14ac:dyDescent="0.2">
      <c r="A256" t="str">
        <f t="shared" si="3"/>
        <v>2028</v>
      </c>
      <c r="B256" s="3" t="s">
        <v>61</v>
      </c>
      <c r="C256" t="s">
        <v>16</v>
      </c>
      <c r="D256">
        <v>287.35000000000002</v>
      </c>
      <c r="E256">
        <v>721725.63</v>
      </c>
      <c r="F256">
        <v>3251182.61</v>
      </c>
      <c r="G256">
        <v>3972908.83</v>
      </c>
      <c r="H256" t="s">
        <v>26</v>
      </c>
    </row>
    <row r="257" spans="1:8" x14ac:dyDescent="0.2">
      <c r="A257" t="str">
        <f t="shared" si="3"/>
        <v>2028</v>
      </c>
      <c r="B257" s="3" t="s">
        <v>61</v>
      </c>
      <c r="C257" t="s">
        <v>38</v>
      </c>
      <c r="D257">
        <v>264.69</v>
      </c>
      <c r="E257">
        <v>578420.37</v>
      </c>
      <c r="F257">
        <v>2410766.66</v>
      </c>
      <c r="G257">
        <v>2989187.23</v>
      </c>
      <c r="H257" t="s">
        <v>26</v>
      </c>
    </row>
    <row r="258" spans="1:8" x14ac:dyDescent="0.2">
      <c r="A258" t="str">
        <f t="shared" si="3"/>
        <v>2029</v>
      </c>
      <c r="B258" s="3" t="s">
        <v>62</v>
      </c>
      <c r="C258" t="s">
        <v>8</v>
      </c>
      <c r="D258">
        <v>940.03</v>
      </c>
      <c r="E258">
        <v>2039630.3</v>
      </c>
      <c r="F258">
        <v>7956971.0800000001</v>
      </c>
      <c r="G258">
        <v>9996601.3900000006</v>
      </c>
      <c r="H258" t="s">
        <v>26</v>
      </c>
    </row>
    <row r="259" spans="1:8" x14ac:dyDescent="0.2">
      <c r="A259" t="str">
        <f t="shared" ref="A259:A322" si="4">LEFT(B259,4)</f>
        <v>2029</v>
      </c>
      <c r="B259" s="3" t="s">
        <v>62</v>
      </c>
      <c r="C259" t="s">
        <v>10</v>
      </c>
      <c r="D259">
        <v>12229.69</v>
      </c>
      <c r="E259">
        <v>31441670.890000001</v>
      </c>
      <c r="F259">
        <v>122380127.75</v>
      </c>
      <c r="G259">
        <v>153821798.63999999</v>
      </c>
      <c r="H259" t="s">
        <v>26</v>
      </c>
    </row>
    <row r="260" spans="1:8" x14ac:dyDescent="0.2">
      <c r="A260" t="str">
        <f t="shared" si="4"/>
        <v>2029</v>
      </c>
      <c r="B260" s="3" t="s">
        <v>62</v>
      </c>
      <c r="C260" t="s">
        <v>11</v>
      </c>
      <c r="D260">
        <v>1202.29</v>
      </c>
      <c r="E260">
        <v>2627355.5299999998</v>
      </c>
      <c r="F260">
        <v>10950411.59</v>
      </c>
      <c r="G260">
        <v>13577768.02</v>
      </c>
      <c r="H260" t="s">
        <v>26</v>
      </c>
    </row>
    <row r="261" spans="1:8" x14ac:dyDescent="0.2">
      <c r="A261" t="str">
        <f t="shared" si="4"/>
        <v>2029</v>
      </c>
      <c r="B261" s="3" t="s">
        <v>62</v>
      </c>
      <c r="C261" t="s">
        <v>12</v>
      </c>
      <c r="D261">
        <v>2585.3200000000002</v>
      </c>
      <c r="E261">
        <v>7639400.2000000002</v>
      </c>
      <c r="F261">
        <v>31173615.449999999</v>
      </c>
      <c r="G261">
        <v>38813015.649999999</v>
      </c>
      <c r="H261" t="s">
        <v>26</v>
      </c>
    </row>
    <row r="262" spans="1:8" x14ac:dyDescent="0.2">
      <c r="A262" t="str">
        <f t="shared" si="4"/>
        <v>2029</v>
      </c>
      <c r="B262" s="3" t="s">
        <v>62</v>
      </c>
      <c r="C262" t="s">
        <v>16</v>
      </c>
      <c r="D262">
        <v>261.04000000000002</v>
      </c>
      <c r="E262">
        <v>655658.04</v>
      </c>
      <c r="F262">
        <v>2953565.63</v>
      </c>
      <c r="G262">
        <v>3609224.2</v>
      </c>
      <c r="H262" t="s">
        <v>26</v>
      </c>
    </row>
    <row r="263" spans="1:8" x14ac:dyDescent="0.2">
      <c r="A263" t="str">
        <f t="shared" si="4"/>
        <v>2029</v>
      </c>
      <c r="B263" s="3" t="s">
        <v>62</v>
      </c>
      <c r="C263" t="s">
        <v>38</v>
      </c>
      <c r="D263">
        <v>480.92</v>
      </c>
      <c r="E263">
        <v>1050942.21</v>
      </c>
      <c r="F263">
        <v>4380164.63</v>
      </c>
      <c r="G263">
        <v>5431107.21</v>
      </c>
      <c r="H263" t="s">
        <v>26</v>
      </c>
    </row>
    <row r="264" spans="1:8" x14ac:dyDescent="0.2">
      <c r="A264" t="str">
        <f t="shared" si="4"/>
        <v>2029</v>
      </c>
      <c r="B264" s="3" t="s">
        <v>63</v>
      </c>
      <c r="C264" t="s">
        <v>8</v>
      </c>
      <c r="D264">
        <v>895.75</v>
      </c>
      <c r="E264">
        <v>1943557.21</v>
      </c>
      <c r="F264">
        <v>7582172.3799999999</v>
      </c>
      <c r="G264">
        <v>9525729.5899999999</v>
      </c>
      <c r="H264" t="s">
        <v>26</v>
      </c>
    </row>
    <row r="265" spans="1:8" x14ac:dyDescent="0.2">
      <c r="A265" t="str">
        <f t="shared" si="4"/>
        <v>2029</v>
      </c>
      <c r="B265" s="3" t="s">
        <v>63</v>
      </c>
      <c r="C265" t="s">
        <v>10</v>
      </c>
      <c r="D265">
        <v>11653.63</v>
      </c>
      <c r="E265">
        <v>29960667.949999999</v>
      </c>
      <c r="F265">
        <v>116615633.56</v>
      </c>
      <c r="G265">
        <v>146576301.5</v>
      </c>
      <c r="H265" t="s">
        <v>26</v>
      </c>
    </row>
    <row r="266" spans="1:8" x14ac:dyDescent="0.2">
      <c r="A266" t="str">
        <f t="shared" si="4"/>
        <v>2029</v>
      </c>
      <c r="B266" s="3" t="s">
        <v>63</v>
      </c>
      <c r="C266" t="s">
        <v>11</v>
      </c>
      <c r="D266">
        <v>1145.6600000000001</v>
      </c>
      <c r="E266">
        <v>2503598.71</v>
      </c>
      <c r="F266">
        <v>10434612.289999999</v>
      </c>
      <c r="G266">
        <v>12938211.859999999</v>
      </c>
      <c r="H266" t="s">
        <v>26</v>
      </c>
    </row>
    <row r="267" spans="1:8" x14ac:dyDescent="0.2">
      <c r="A267" t="str">
        <f t="shared" si="4"/>
        <v>2029</v>
      </c>
      <c r="B267" s="3" t="s">
        <v>63</v>
      </c>
      <c r="C267" t="s">
        <v>12</v>
      </c>
      <c r="D267">
        <v>2463.5500000000002</v>
      </c>
      <c r="E267">
        <v>7279560.0999999996</v>
      </c>
      <c r="F267">
        <v>29705238.77</v>
      </c>
      <c r="G267">
        <v>36984798.869999997</v>
      </c>
      <c r="H267" t="s">
        <v>26</v>
      </c>
    </row>
    <row r="268" spans="1:8" x14ac:dyDescent="0.2">
      <c r="A268" t="str">
        <f t="shared" si="4"/>
        <v>2029</v>
      </c>
      <c r="B268" s="3" t="s">
        <v>63</v>
      </c>
      <c r="C268" t="s">
        <v>16</v>
      </c>
      <c r="D268">
        <v>248.75</v>
      </c>
      <c r="E268">
        <v>624774.44999999995</v>
      </c>
      <c r="F268">
        <v>2814443.27</v>
      </c>
      <c r="G268">
        <v>3439218.23</v>
      </c>
      <c r="H268" t="s">
        <v>26</v>
      </c>
    </row>
    <row r="269" spans="1:8" x14ac:dyDescent="0.2">
      <c r="A269" t="str">
        <f t="shared" si="4"/>
        <v>2029</v>
      </c>
      <c r="B269" s="3" t="s">
        <v>63</v>
      </c>
      <c r="C269" t="s">
        <v>38</v>
      </c>
      <c r="D269">
        <v>458.26</v>
      </c>
      <c r="E269">
        <v>1001439.48</v>
      </c>
      <c r="F269">
        <v>4173844.92</v>
      </c>
      <c r="G269">
        <v>5175284.74</v>
      </c>
      <c r="H269" t="s">
        <v>26</v>
      </c>
    </row>
    <row r="270" spans="1:8" x14ac:dyDescent="0.2">
      <c r="A270" t="str">
        <f t="shared" si="4"/>
        <v>2029</v>
      </c>
      <c r="B270" s="3" t="s">
        <v>64</v>
      </c>
      <c r="C270" t="s">
        <v>8</v>
      </c>
      <c r="D270">
        <v>1114.56</v>
      </c>
      <c r="E270">
        <v>2418328.89</v>
      </c>
      <c r="F270">
        <v>9434343.5700000003</v>
      </c>
      <c r="G270">
        <v>11852672.460000001</v>
      </c>
      <c r="H270" t="s">
        <v>26</v>
      </c>
    </row>
    <row r="271" spans="1:8" x14ac:dyDescent="0.2">
      <c r="A271" t="str">
        <f t="shared" si="4"/>
        <v>2029</v>
      </c>
      <c r="B271" s="3" t="s">
        <v>64</v>
      </c>
      <c r="C271" t="s">
        <v>10</v>
      </c>
      <c r="D271">
        <v>14500.38</v>
      </c>
      <c r="E271">
        <v>37279452.5</v>
      </c>
      <c r="F271">
        <v>145102471.66</v>
      </c>
      <c r="G271">
        <v>182381924.16</v>
      </c>
      <c r="H271" t="s">
        <v>26</v>
      </c>
    </row>
    <row r="272" spans="1:8" x14ac:dyDescent="0.2">
      <c r="A272" t="str">
        <f t="shared" si="4"/>
        <v>2029</v>
      </c>
      <c r="B272" s="3" t="s">
        <v>64</v>
      </c>
      <c r="C272" t="s">
        <v>11</v>
      </c>
      <c r="D272">
        <v>1425.52</v>
      </c>
      <c r="E272">
        <v>3115177.18</v>
      </c>
      <c r="F272">
        <v>12983576.789999999</v>
      </c>
      <c r="G272">
        <v>16098755.050000001</v>
      </c>
      <c r="H272" t="s">
        <v>26</v>
      </c>
    </row>
    <row r="273" spans="1:8" x14ac:dyDescent="0.2">
      <c r="A273" t="str">
        <f t="shared" si="4"/>
        <v>2029</v>
      </c>
      <c r="B273" s="3" t="s">
        <v>64</v>
      </c>
      <c r="C273" t="s">
        <v>12</v>
      </c>
      <c r="D273">
        <v>3065.34</v>
      </c>
      <c r="E273">
        <v>9057809.2300000004</v>
      </c>
      <c r="F273">
        <v>36961627.149999999</v>
      </c>
      <c r="G273">
        <v>46019436.380000003</v>
      </c>
      <c r="H273" t="s">
        <v>26</v>
      </c>
    </row>
    <row r="274" spans="1:8" x14ac:dyDescent="0.2">
      <c r="A274" t="str">
        <f t="shared" si="4"/>
        <v>2029</v>
      </c>
      <c r="B274" s="3" t="s">
        <v>64</v>
      </c>
      <c r="C274" t="s">
        <v>16</v>
      </c>
      <c r="D274">
        <v>309.51</v>
      </c>
      <c r="E274">
        <v>777394.2</v>
      </c>
      <c r="F274">
        <v>3501954.77</v>
      </c>
      <c r="G274">
        <v>4279349.6100000003</v>
      </c>
      <c r="H274" t="s">
        <v>26</v>
      </c>
    </row>
    <row r="275" spans="1:8" x14ac:dyDescent="0.2">
      <c r="A275" t="str">
        <f t="shared" si="4"/>
        <v>2029</v>
      </c>
      <c r="B275" s="3" t="s">
        <v>64</v>
      </c>
      <c r="C275" t="s">
        <v>38</v>
      </c>
      <c r="D275">
        <v>570.21</v>
      </c>
      <c r="E275">
        <v>1246070.8700000001</v>
      </c>
      <c r="F275">
        <v>5193430.72</v>
      </c>
      <c r="G275">
        <v>6439502.0199999996</v>
      </c>
      <c r="H275" t="s">
        <v>26</v>
      </c>
    </row>
    <row r="276" spans="1:8" x14ac:dyDescent="0.2">
      <c r="A276" t="str">
        <f t="shared" si="4"/>
        <v>2029</v>
      </c>
      <c r="B276" s="3" t="s">
        <v>65</v>
      </c>
      <c r="C276" t="s">
        <v>8</v>
      </c>
      <c r="D276">
        <v>1181.5899999999999</v>
      </c>
      <c r="E276">
        <v>2563767.0499999998</v>
      </c>
      <c r="F276">
        <v>10001724.43</v>
      </c>
      <c r="G276">
        <v>12565491.48</v>
      </c>
      <c r="H276" t="s">
        <v>26</v>
      </c>
    </row>
    <row r="277" spans="1:8" x14ac:dyDescent="0.2">
      <c r="A277" t="str">
        <f t="shared" si="4"/>
        <v>2029</v>
      </c>
      <c r="B277" s="3" t="s">
        <v>65</v>
      </c>
      <c r="C277" t="s">
        <v>10</v>
      </c>
      <c r="D277">
        <v>15372.43</v>
      </c>
      <c r="E277">
        <v>39521436.57</v>
      </c>
      <c r="F277">
        <v>153828925.75</v>
      </c>
      <c r="G277">
        <v>193350362.31999999</v>
      </c>
      <c r="H277" t="s">
        <v>26</v>
      </c>
    </row>
    <row r="278" spans="1:8" x14ac:dyDescent="0.2">
      <c r="A278" t="str">
        <f t="shared" si="4"/>
        <v>2029</v>
      </c>
      <c r="B278" s="3" t="s">
        <v>65</v>
      </c>
      <c r="C278" t="s">
        <v>11</v>
      </c>
      <c r="D278">
        <v>1511.25</v>
      </c>
      <c r="E278">
        <v>3302523.75</v>
      </c>
      <c r="F278">
        <v>13764408.34</v>
      </c>
      <c r="G278">
        <v>17066933.219999999</v>
      </c>
      <c r="H278" t="s">
        <v>26</v>
      </c>
    </row>
    <row r="279" spans="1:8" x14ac:dyDescent="0.2">
      <c r="A279" t="str">
        <f t="shared" si="4"/>
        <v>2029</v>
      </c>
      <c r="B279" s="3" t="s">
        <v>65</v>
      </c>
      <c r="C279" t="s">
        <v>12</v>
      </c>
      <c r="D279">
        <v>3249.69</v>
      </c>
      <c r="E279">
        <v>9602545.3499999996</v>
      </c>
      <c r="F279">
        <v>39184497.229999997</v>
      </c>
      <c r="G279">
        <v>48787042.57</v>
      </c>
      <c r="H279" t="s">
        <v>26</v>
      </c>
    </row>
    <row r="280" spans="1:8" x14ac:dyDescent="0.2">
      <c r="A280" t="str">
        <f t="shared" si="4"/>
        <v>2029</v>
      </c>
      <c r="B280" s="3" t="s">
        <v>65</v>
      </c>
      <c r="C280" t="s">
        <v>16</v>
      </c>
      <c r="D280">
        <v>328.13</v>
      </c>
      <c r="E280">
        <v>824146.64</v>
      </c>
      <c r="F280">
        <v>3712562.13</v>
      </c>
      <c r="G280">
        <v>4536709.45</v>
      </c>
      <c r="H280" t="s">
        <v>26</v>
      </c>
    </row>
    <row r="281" spans="1:8" x14ac:dyDescent="0.2">
      <c r="A281" t="str">
        <f t="shared" si="4"/>
        <v>2029</v>
      </c>
      <c r="B281" s="3" t="s">
        <v>65</v>
      </c>
      <c r="C281" t="s">
        <v>38</v>
      </c>
      <c r="D281">
        <v>604.5</v>
      </c>
      <c r="E281">
        <v>1321009.5</v>
      </c>
      <c r="F281">
        <v>5505763.3300000001</v>
      </c>
      <c r="G281">
        <v>6826773.29</v>
      </c>
      <c r="H281" t="s">
        <v>26</v>
      </c>
    </row>
    <row r="282" spans="1:8" x14ac:dyDescent="0.2">
      <c r="A282" t="str">
        <f t="shared" si="4"/>
        <v>2029</v>
      </c>
      <c r="B282" s="3" t="s">
        <v>66</v>
      </c>
      <c r="C282" t="s">
        <v>8</v>
      </c>
      <c r="D282">
        <v>1278.4000000000001</v>
      </c>
      <c r="E282">
        <v>2773813.31</v>
      </c>
      <c r="F282">
        <v>10821153.34</v>
      </c>
      <c r="G282">
        <v>13594966.640000001</v>
      </c>
      <c r="H282" t="s">
        <v>26</v>
      </c>
    </row>
    <row r="283" spans="1:8" x14ac:dyDescent="0.2">
      <c r="A283" t="str">
        <f t="shared" si="4"/>
        <v>2029</v>
      </c>
      <c r="B283" s="3" t="s">
        <v>66</v>
      </c>
      <c r="C283" t="s">
        <v>10</v>
      </c>
      <c r="D283">
        <v>16631.87</v>
      </c>
      <c r="E283">
        <v>42759378.950000003</v>
      </c>
      <c r="F283">
        <v>166431939.25</v>
      </c>
      <c r="G283">
        <v>209191318.19999999</v>
      </c>
      <c r="H283" t="s">
        <v>26</v>
      </c>
    </row>
    <row r="284" spans="1:8" x14ac:dyDescent="0.2">
      <c r="A284" t="str">
        <f t="shared" si="4"/>
        <v>2029</v>
      </c>
      <c r="B284" s="3" t="s">
        <v>66</v>
      </c>
      <c r="C284" t="s">
        <v>11</v>
      </c>
      <c r="D284">
        <v>1635.07</v>
      </c>
      <c r="E284">
        <v>3573095.44</v>
      </c>
      <c r="F284">
        <v>14892109.279999999</v>
      </c>
      <c r="G284">
        <v>18465205.940000001</v>
      </c>
      <c r="H284" t="s">
        <v>26</v>
      </c>
    </row>
    <row r="285" spans="1:8" x14ac:dyDescent="0.2">
      <c r="A285" t="str">
        <f t="shared" si="4"/>
        <v>2029</v>
      </c>
      <c r="B285" s="3" t="s">
        <v>66</v>
      </c>
      <c r="C285" t="s">
        <v>12</v>
      </c>
      <c r="D285">
        <v>3515.93</v>
      </c>
      <c r="E285">
        <v>10389270</v>
      </c>
      <c r="F285">
        <v>42394834.590000004</v>
      </c>
      <c r="G285">
        <v>52784104.590000004</v>
      </c>
      <c r="H285" t="s">
        <v>26</v>
      </c>
    </row>
    <row r="286" spans="1:8" x14ac:dyDescent="0.2">
      <c r="A286" t="str">
        <f t="shared" si="4"/>
        <v>2029</v>
      </c>
      <c r="B286" s="3" t="s">
        <v>66</v>
      </c>
      <c r="C286" t="s">
        <v>16</v>
      </c>
      <c r="D286">
        <v>355.01</v>
      </c>
      <c r="E286">
        <v>891667.96</v>
      </c>
      <c r="F286">
        <v>4016727.75</v>
      </c>
      <c r="G286">
        <v>4908396.4400000004</v>
      </c>
      <c r="H286" t="s">
        <v>26</v>
      </c>
    </row>
    <row r="287" spans="1:8" x14ac:dyDescent="0.2">
      <c r="A287" t="str">
        <f t="shared" si="4"/>
        <v>2029</v>
      </c>
      <c r="B287" s="3" t="s">
        <v>66</v>
      </c>
      <c r="C287" t="s">
        <v>38</v>
      </c>
      <c r="D287">
        <v>654.03</v>
      </c>
      <c r="E287">
        <v>1429238.18</v>
      </c>
      <c r="F287">
        <v>5956843.71</v>
      </c>
      <c r="G287">
        <v>7386082.3799999999</v>
      </c>
      <c r="H287" t="s">
        <v>26</v>
      </c>
    </row>
    <row r="288" spans="1:8" x14ac:dyDescent="0.2">
      <c r="A288" t="str">
        <f t="shared" si="4"/>
        <v>2029</v>
      </c>
      <c r="B288" s="3" t="s">
        <v>67</v>
      </c>
      <c r="C288" t="s">
        <v>8</v>
      </c>
      <c r="D288">
        <v>1308.1099999999999</v>
      </c>
      <c r="E288">
        <v>2838281.57</v>
      </c>
      <c r="F288">
        <v>11072655.82</v>
      </c>
      <c r="G288">
        <v>13910937.380000001</v>
      </c>
      <c r="H288" t="s">
        <v>26</v>
      </c>
    </row>
    <row r="289" spans="1:8" x14ac:dyDescent="0.2">
      <c r="A289" t="str">
        <f t="shared" si="4"/>
        <v>2029</v>
      </c>
      <c r="B289" s="3" t="s">
        <v>67</v>
      </c>
      <c r="C289" t="s">
        <v>10</v>
      </c>
      <c r="D289">
        <v>17018.43</v>
      </c>
      <c r="E289">
        <v>43753181.509999998</v>
      </c>
      <c r="F289">
        <v>170300107.84</v>
      </c>
      <c r="G289">
        <v>214053289.34999999</v>
      </c>
      <c r="H289" t="s">
        <v>26</v>
      </c>
    </row>
    <row r="290" spans="1:8" x14ac:dyDescent="0.2">
      <c r="A290" t="str">
        <f t="shared" si="4"/>
        <v>2029</v>
      </c>
      <c r="B290" s="3" t="s">
        <v>67</v>
      </c>
      <c r="C290" t="s">
        <v>11</v>
      </c>
      <c r="D290">
        <v>1673.07</v>
      </c>
      <c r="E290">
        <v>3656140.41</v>
      </c>
      <c r="F290">
        <v>15238227.869999999</v>
      </c>
      <c r="G290">
        <v>18894369.539999999</v>
      </c>
      <c r="H290" t="s">
        <v>26</v>
      </c>
    </row>
    <row r="291" spans="1:8" x14ac:dyDescent="0.2">
      <c r="A291" t="str">
        <f t="shared" si="4"/>
        <v>2029</v>
      </c>
      <c r="B291" s="3" t="s">
        <v>67</v>
      </c>
      <c r="C291" t="s">
        <v>12</v>
      </c>
      <c r="D291">
        <v>3597.65</v>
      </c>
      <c r="E291">
        <v>10630734.76</v>
      </c>
      <c r="F291">
        <v>43380164.5</v>
      </c>
      <c r="G291">
        <v>54010899.259999998</v>
      </c>
      <c r="H291" t="s">
        <v>26</v>
      </c>
    </row>
    <row r="292" spans="1:8" x14ac:dyDescent="0.2">
      <c r="A292" t="str">
        <f t="shared" si="4"/>
        <v>2029</v>
      </c>
      <c r="B292" s="3" t="s">
        <v>67</v>
      </c>
      <c r="C292" t="s">
        <v>16</v>
      </c>
      <c r="D292">
        <v>363.26</v>
      </c>
      <c r="E292">
        <v>912391.88</v>
      </c>
      <c r="F292">
        <v>4110083.51</v>
      </c>
      <c r="G292">
        <v>5022476.13</v>
      </c>
      <c r="H292" t="s">
        <v>26</v>
      </c>
    </row>
    <row r="293" spans="1:8" x14ac:dyDescent="0.2">
      <c r="A293" t="str">
        <f t="shared" si="4"/>
        <v>2029</v>
      </c>
      <c r="B293" s="3" t="s">
        <v>67</v>
      </c>
      <c r="C293" t="s">
        <v>38</v>
      </c>
      <c r="D293">
        <v>669.23</v>
      </c>
      <c r="E293">
        <v>1462456.16</v>
      </c>
      <c r="F293">
        <v>6095291.1500000004</v>
      </c>
      <c r="G293">
        <v>7557747.8200000003</v>
      </c>
      <c r="H293" t="s">
        <v>26</v>
      </c>
    </row>
    <row r="294" spans="1:8" x14ac:dyDescent="0.2">
      <c r="A294" t="str">
        <f t="shared" si="4"/>
        <v>2029</v>
      </c>
      <c r="B294" s="3" t="s">
        <v>68</v>
      </c>
      <c r="C294" t="s">
        <v>8</v>
      </c>
      <c r="D294">
        <v>1395.96</v>
      </c>
      <c r="E294">
        <v>3028889.46</v>
      </c>
      <c r="F294">
        <v>11816252.09</v>
      </c>
      <c r="G294">
        <v>14845141.539999999</v>
      </c>
      <c r="H294" t="s">
        <v>26</v>
      </c>
    </row>
    <row r="295" spans="1:8" x14ac:dyDescent="0.2">
      <c r="A295" t="str">
        <f t="shared" si="4"/>
        <v>2029</v>
      </c>
      <c r="B295" s="3" t="s">
        <v>68</v>
      </c>
      <c r="C295" t="s">
        <v>10</v>
      </c>
      <c r="D295">
        <v>18161.32</v>
      </c>
      <c r="E295">
        <v>46691474.100000001</v>
      </c>
      <c r="F295">
        <v>181736797.18000001</v>
      </c>
      <c r="G295">
        <v>228428271.28</v>
      </c>
      <c r="H295" t="s">
        <v>26</v>
      </c>
    </row>
    <row r="296" spans="1:8" x14ac:dyDescent="0.2">
      <c r="A296" t="str">
        <f t="shared" si="4"/>
        <v>2029</v>
      </c>
      <c r="B296" s="3" t="s">
        <v>68</v>
      </c>
      <c r="C296" t="s">
        <v>11</v>
      </c>
      <c r="D296">
        <v>1785.43</v>
      </c>
      <c r="E296">
        <v>3901672.5</v>
      </c>
      <c r="F296">
        <v>16261567.67</v>
      </c>
      <c r="G296">
        <v>20163241.52</v>
      </c>
      <c r="H296" t="s">
        <v>26</v>
      </c>
    </row>
    <row r="297" spans="1:8" x14ac:dyDescent="0.2">
      <c r="A297" t="str">
        <f t="shared" si="4"/>
        <v>2029</v>
      </c>
      <c r="B297" s="3" t="s">
        <v>68</v>
      </c>
      <c r="C297" t="s">
        <v>12</v>
      </c>
      <c r="D297">
        <v>3839.26</v>
      </c>
      <c r="E297">
        <v>11344653.34</v>
      </c>
      <c r="F297">
        <v>46293406.719999999</v>
      </c>
      <c r="G297">
        <v>57638060.060000002</v>
      </c>
      <c r="H297" t="s">
        <v>26</v>
      </c>
    </row>
    <row r="298" spans="1:8" x14ac:dyDescent="0.2">
      <c r="A298" t="str">
        <f t="shared" si="4"/>
        <v>2029</v>
      </c>
      <c r="B298" s="3" t="s">
        <v>68</v>
      </c>
      <c r="C298" t="s">
        <v>16</v>
      </c>
      <c r="D298">
        <v>387.66</v>
      </c>
      <c r="E298">
        <v>973664.55</v>
      </c>
      <c r="F298">
        <v>4386100.6399999997</v>
      </c>
      <c r="G298">
        <v>5359765.99</v>
      </c>
      <c r="H298" t="s">
        <v>26</v>
      </c>
    </row>
    <row r="299" spans="1:8" x14ac:dyDescent="0.2">
      <c r="A299" t="str">
        <f t="shared" si="4"/>
        <v>2029</v>
      </c>
      <c r="B299" s="3" t="s">
        <v>68</v>
      </c>
      <c r="C299" t="s">
        <v>38</v>
      </c>
      <c r="D299">
        <v>714.17</v>
      </c>
      <c r="E299">
        <v>1560669</v>
      </c>
      <c r="F299">
        <v>6504627.0700000003</v>
      </c>
      <c r="G299">
        <v>8065296.6100000003</v>
      </c>
      <c r="H299" t="s">
        <v>26</v>
      </c>
    </row>
    <row r="300" spans="1:8" x14ac:dyDescent="0.2">
      <c r="A300" t="str">
        <f t="shared" si="4"/>
        <v>2029</v>
      </c>
      <c r="B300" s="3" t="s">
        <v>69</v>
      </c>
      <c r="C300" t="s">
        <v>8</v>
      </c>
      <c r="D300">
        <v>1411.36</v>
      </c>
      <c r="E300">
        <v>3062312.26</v>
      </c>
      <c r="F300">
        <v>11946640.57</v>
      </c>
      <c r="G300">
        <v>15008952.84</v>
      </c>
      <c r="H300" t="s">
        <v>26</v>
      </c>
    </row>
    <row r="301" spans="1:8" x14ac:dyDescent="0.2">
      <c r="A301" t="str">
        <f t="shared" si="4"/>
        <v>2029</v>
      </c>
      <c r="B301" s="3" t="s">
        <v>69</v>
      </c>
      <c r="C301" t="s">
        <v>10</v>
      </c>
      <c r="D301">
        <v>18361.72</v>
      </c>
      <c r="E301">
        <v>47206699.289999999</v>
      </c>
      <c r="F301">
        <v>183742203.46000001</v>
      </c>
      <c r="G301">
        <v>230948902.74000001</v>
      </c>
      <c r="H301" t="s">
        <v>26</v>
      </c>
    </row>
    <row r="302" spans="1:8" x14ac:dyDescent="0.2">
      <c r="A302" t="str">
        <f t="shared" si="4"/>
        <v>2029</v>
      </c>
      <c r="B302" s="3" t="s">
        <v>69</v>
      </c>
      <c r="C302" t="s">
        <v>11</v>
      </c>
      <c r="D302">
        <v>1805.13</v>
      </c>
      <c r="E302">
        <v>3944726.19</v>
      </c>
      <c r="F302">
        <v>16441008.77</v>
      </c>
      <c r="G302">
        <v>20385736.309999999</v>
      </c>
      <c r="H302" t="s">
        <v>26</v>
      </c>
    </row>
    <row r="303" spans="1:8" x14ac:dyDescent="0.2">
      <c r="A303" t="str">
        <f t="shared" si="4"/>
        <v>2029</v>
      </c>
      <c r="B303" s="3" t="s">
        <v>69</v>
      </c>
      <c r="C303" t="s">
        <v>12</v>
      </c>
      <c r="D303">
        <v>3881.62</v>
      </c>
      <c r="E303">
        <v>11469837.890000001</v>
      </c>
      <c r="F303">
        <v>46804239.359999999</v>
      </c>
      <c r="G303">
        <v>58274077.25</v>
      </c>
      <c r="H303" t="s">
        <v>26</v>
      </c>
    </row>
    <row r="304" spans="1:8" x14ac:dyDescent="0.2">
      <c r="A304" t="str">
        <f t="shared" si="4"/>
        <v>2029</v>
      </c>
      <c r="B304" s="3" t="s">
        <v>69</v>
      </c>
      <c r="C304" t="s">
        <v>16</v>
      </c>
      <c r="D304">
        <v>391.93</v>
      </c>
      <c r="E304">
        <v>984408.62</v>
      </c>
      <c r="F304">
        <v>4434499.83</v>
      </c>
      <c r="G304">
        <v>5418909.2599999998</v>
      </c>
      <c r="H304" t="s">
        <v>26</v>
      </c>
    </row>
    <row r="305" spans="1:8" x14ac:dyDescent="0.2">
      <c r="A305" t="str">
        <f t="shared" si="4"/>
        <v>2029</v>
      </c>
      <c r="B305" s="3" t="s">
        <v>69</v>
      </c>
      <c r="C305" t="s">
        <v>38</v>
      </c>
      <c r="D305">
        <v>722.05</v>
      </c>
      <c r="E305">
        <v>1577890.47</v>
      </c>
      <c r="F305">
        <v>6576403.5099999998</v>
      </c>
      <c r="G305">
        <v>8154294.5199999996</v>
      </c>
      <c r="H305" t="s">
        <v>26</v>
      </c>
    </row>
    <row r="306" spans="1:8" x14ac:dyDescent="0.2">
      <c r="A306" t="str">
        <f t="shared" si="4"/>
        <v>2029</v>
      </c>
      <c r="B306" s="3" t="s">
        <v>70</v>
      </c>
      <c r="C306" t="s">
        <v>8</v>
      </c>
      <c r="D306">
        <v>1297.5999999999999</v>
      </c>
      <c r="E306">
        <v>2815486.93</v>
      </c>
      <c r="F306">
        <v>10983729.779999999</v>
      </c>
      <c r="G306">
        <v>13799216.710000001</v>
      </c>
      <c r="H306" t="s">
        <v>26</v>
      </c>
    </row>
    <row r="307" spans="1:8" x14ac:dyDescent="0.2">
      <c r="A307" t="str">
        <f t="shared" si="4"/>
        <v>2029</v>
      </c>
      <c r="B307" s="3" t="s">
        <v>70</v>
      </c>
      <c r="C307" t="s">
        <v>10</v>
      </c>
      <c r="D307">
        <v>16881.75</v>
      </c>
      <c r="E307">
        <v>43401793.619999997</v>
      </c>
      <c r="F307">
        <v>168932403.97</v>
      </c>
      <c r="G307">
        <v>212334197.59999999</v>
      </c>
      <c r="H307" t="s">
        <v>26</v>
      </c>
    </row>
    <row r="308" spans="1:8" x14ac:dyDescent="0.2">
      <c r="A308" t="str">
        <f t="shared" si="4"/>
        <v>2029</v>
      </c>
      <c r="B308" s="3" t="s">
        <v>70</v>
      </c>
      <c r="C308" t="s">
        <v>11</v>
      </c>
      <c r="D308">
        <v>1659.63</v>
      </c>
      <c r="E308">
        <v>3626777.44</v>
      </c>
      <c r="F308">
        <v>15115847.550000001</v>
      </c>
      <c r="G308">
        <v>18742626.23</v>
      </c>
      <c r="H308" t="s">
        <v>26</v>
      </c>
    </row>
    <row r="309" spans="1:8" x14ac:dyDescent="0.2">
      <c r="A309" t="str">
        <f t="shared" si="4"/>
        <v>2029</v>
      </c>
      <c r="B309" s="3" t="s">
        <v>70</v>
      </c>
      <c r="C309" t="s">
        <v>12</v>
      </c>
      <c r="D309">
        <v>3568.76</v>
      </c>
      <c r="E309">
        <v>10545357.85</v>
      </c>
      <c r="F309">
        <v>43031772.359999999</v>
      </c>
      <c r="G309">
        <v>53577130.210000001</v>
      </c>
      <c r="H309" t="s">
        <v>26</v>
      </c>
    </row>
    <row r="310" spans="1:8" x14ac:dyDescent="0.2">
      <c r="A310" t="str">
        <f t="shared" si="4"/>
        <v>2029</v>
      </c>
      <c r="B310" s="3" t="s">
        <v>70</v>
      </c>
      <c r="C310" t="s">
        <v>16</v>
      </c>
      <c r="D310">
        <v>360.34</v>
      </c>
      <c r="E310">
        <v>905064.33</v>
      </c>
      <c r="F310">
        <v>4077074.85</v>
      </c>
      <c r="G310">
        <v>4982139.93</v>
      </c>
      <c r="H310" t="s">
        <v>26</v>
      </c>
    </row>
    <row r="311" spans="1:8" x14ac:dyDescent="0.2">
      <c r="A311" t="str">
        <f t="shared" si="4"/>
        <v>2029</v>
      </c>
      <c r="B311" s="3" t="s">
        <v>70</v>
      </c>
      <c r="C311" t="s">
        <v>38</v>
      </c>
      <c r="D311">
        <v>663.85</v>
      </c>
      <c r="E311">
        <v>1450710.97</v>
      </c>
      <c r="F311">
        <v>6046339.0199999996</v>
      </c>
      <c r="G311">
        <v>7497050.4900000002</v>
      </c>
      <c r="H311" t="s">
        <v>26</v>
      </c>
    </row>
    <row r="312" spans="1:8" x14ac:dyDescent="0.2">
      <c r="A312" t="str">
        <f t="shared" si="4"/>
        <v>2029</v>
      </c>
      <c r="B312" s="3" t="s">
        <v>71</v>
      </c>
      <c r="C312" t="s">
        <v>8</v>
      </c>
      <c r="D312">
        <v>1258.55</v>
      </c>
      <c r="E312">
        <v>2730741.24</v>
      </c>
      <c r="F312">
        <v>10653121.310000001</v>
      </c>
      <c r="G312">
        <v>13383862.550000001</v>
      </c>
      <c r="H312" t="s">
        <v>26</v>
      </c>
    </row>
    <row r="313" spans="1:8" x14ac:dyDescent="0.2">
      <c r="A313" t="str">
        <f t="shared" si="4"/>
        <v>2029</v>
      </c>
      <c r="B313" s="3" t="s">
        <v>71</v>
      </c>
      <c r="C313" t="s">
        <v>10</v>
      </c>
      <c r="D313">
        <v>16373.61</v>
      </c>
      <c r="E313">
        <v>42095406.75</v>
      </c>
      <c r="F313">
        <v>163847566.30000001</v>
      </c>
      <c r="G313">
        <v>205942973.05000001</v>
      </c>
      <c r="H313" t="s">
        <v>26</v>
      </c>
    </row>
    <row r="314" spans="1:8" x14ac:dyDescent="0.2">
      <c r="A314" t="str">
        <f t="shared" si="4"/>
        <v>2029</v>
      </c>
      <c r="B314" s="3" t="s">
        <v>71</v>
      </c>
      <c r="C314" t="s">
        <v>11</v>
      </c>
      <c r="D314">
        <v>1609.68</v>
      </c>
      <c r="E314">
        <v>3517612.03</v>
      </c>
      <c r="F314">
        <v>14660863.01</v>
      </c>
      <c r="G314">
        <v>18178476.25</v>
      </c>
      <c r="H314" t="s">
        <v>26</v>
      </c>
    </row>
    <row r="315" spans="1:8" x14ac:dyDescent="0.2">
      <c r="A315" t="str">
        <f t="shared" si="4"/>
        <v>2029</v>
      </c>
      <c r="B315" s="3" t="s">
        <v>71</v>
      </c>
      <c r="C315" t="s">
        <v>12</v>
      </c>
      <c r="D315">
        <v>3461.34</v>
      </c>
      <c r="E315">
        <v>10227944.310000001</v>
      </c>
      <c r="F315">
        <v>41736523.060000002</v>
      </c>
      <c r="G315">
        <v>51964467.369999997</v>
      </c>
      <c r="H315" t="s">
        <v>26</v>
      </c>
    </row>
    <row r="316" spans="1:8" x14ac:dyDescent="0.2">
      <c r="A316" t="str">
        <f t="shared" si="4"/>
        <v>2029</v>
      </c>
      <c r="B316" s="3" t="s">
        <v>71</v>
      </c>
      <c r="C316" t="s">
        <v>16</v>
      </c>
      <c r="D316">
        <v>349.5</v>
      </c>
      <c r="E316">
        <v>877822.04</v>
      </c>
      <c r="F316">
        <v>3954355.57</v>
      </c>
      <c r="G316">
        <v>4832178.33</v>
      </c>
      <c r="H316" t="s">
        <v>26</v>
      </c>
    </row>
    <row r="317" spans="1:8" x14ac:dyDescent="0.2">
      <c r="A317" t="str">
        <f t="shared" si="4"/>
        <v>2029</v>
      </c>
      <c r="B317" s="3" t="s">
        <v>71</v>
      </c>
      <c r="C317" t="s">
        <v>38</v>
      </c>
      <c r="D317">
        <v>643.87</v>
      </c>
      <c r="E317">
        <v>1407044.81</v>
      </c>
      <c r="F317">
        <v>5864345.2000000002</v>
      </c>
      <c r="G317">
        <v>7271390.5</v>
      </c>
      <c r="H317" t="s">
        <v>26</v>
      </c>
    </row>
    <row r="318" spans="1:8" x14ac:dyDescent="0.2">
      <c r="A318" t="str">
        <f t="shared" si="4"/>
        <v>2029</v>
      </c>
      <c r="B318" s="3" t="s">
        <v>72</v>
      </c>
      <c r="C318" t="s">
        <v>8</v>
      </c>
      <c r="D318">
        <v>1025.23</v>
      </c>
      <c r="E318">
        <v>2224504.58</v>
      </c>
      <c r="F318">
        <v>8678199.4499999993</v>
      </c>
      <c r="G318">
        <v>10902704.029999999</v>
      </c>
      <c r="H318" t="s">
        <v>26</v>
      </c>
    </row>
    <row r="319" spans="1:8" x14ac:dyDescent="0.2">
      <c r="A319" t="str">
        <f t="shared" si="4"/>
        <v>2029</v>
      </c>
      <c r="B319" s="3" t="s">
        <v>72</v>
      </c>
      <c r="C319" t="s">
        <v>10</v>
      </c>
      <c r="D319">
        <v>13338.2</v>
      </c>
      <c r="E319">
        <v>34291577.57</v>
      </c>
      <c r="F319">
        <v>133472793.42</v>
      </c>
      <c r="G319">
        <v>167764370.99000001</v>
      </c>
      <c r="H319" t="s">
        <v>26</v>
      </c>
    </row>
    <row r="320" spans="1:8" x14ac:dyDescent="0.2">
      <c r="A320" t="str">
        <f t="shared" si="4"/>
        <v>2029</v>
      </c>
      <c r="B320" s="3" t="s">
        <v>72</v>
      </c>
      <c r="C320" t="s">
        <v>11</v>
      </c>
      <c r="D320">
        <v>1311.27</v>
      </c>
      <c r="E320">
        <v>2865501.85</v>
      </c>
      <c r="F320">
        <v>11942968.6</v>
      </c>
      <c r="G320">
        <v>14808471.43</v>
      </c>
      <c r="H320" t="s">
        <v>26</v>
      </c>
    </row>
    <row r="321" spans="1:8" x14ac:dyDescent="0.2">
      <c r="A321" t="str">
        <f t="shared" si="4"/>
        <v>2029</v>
      </c>
      <c r="B321" s="3" t="s">
        <v>72</v>
      </c>
      <c r="C321" t="s">
        <v>12</v>
      </c>
      <c r="D321">
        <v>2819.66</v>
      </c>
      <c r="E321">
        <v>8331843.6100000003</v>
      </c>
      <c r="F321">
        <v>33999225.299999997</v>
      </c>
      <c r="G321">
        <v>42331068.899999999</v>
      </c>
      <c r="H321" t="s">
        <v>26</v>
      </c>
    </row>
    <row r="322" spans="1:8" x14ac:dyDescent="0.2">
      <c r="A322" t="str">
        <f t="shared" si="4"/>
        <v>2029</v>
      </c>
      <c r="B322" s="3" t="s">
        <v>72</v>
      </c>
      <c r="C322" t="s">
        <v>16</v>
      </c>
      <c r="D322">
        <v>284.70999999999998</v>
      </c>
      <c r="E322">
        <v>715087.58</v>
      </c>
      <c r="F322">
        <v>3221279.97</v>
      </c>
      <c r="G322">
        <v>3936368.14</v>
      </c>
      <c r="H322" t="s">
        <v>26</v>
      </c>
    </row>
    <row r="323" spans="1:8" x14ac:dyDescent="0.2">
      <c r="A323" t="str">
        <f t="shared" ref="A323:A386" si="5">LEFT(B323,4)</f>
        <v>2029</v>
      </c>
      <c r="B323" s="3" t="s">
        <v>72</v>
      </c>
      <c r="C323" t="s">
        <v>38</v>
      </c>
      <c r="D323">
        <v>524.51</v>
      </c>
      <c r="E323">
        <v>1146200.74</v>
      </c>
      <c r="F323">
        <v>4777187.4400000004</v>
      </c>
      <c r="G323">
        <v>5923388.5700000003</v>
      </c>
      <c r="H323" t="s">
        <v>26</v>
      </c>
    </row>
    <row r="324" spans="1:8" x14ac:dyDescent="0.2">
      <c r="A324" t="str">
        <f t="shared" si="5"/>
        <v>2029</v>
      </c>
      <c r="B324" s="3" t="s">
        <v>73</v>
      </c>
      <c r="C324" t="s">
        <v>8</v>
      </c>
      <c r="D324">
        <v>1077.57</v>
      </c>
      <c r="E324">
        <v>2338058.21</v>
      </c>
      <c r="F324">
        <v>9121192.9700000007</v>
      </c>
      <c r="G324">
        <v>11459251.189999999</v>
      </c>
      <c r="H324" t="s">
        <v>26</v>
      </c>
    </row>
    <row r="325" spans="1:8" x14ac:dyDescent="0.2">
      <c r="A325" t="str">
        <f t="shared" si="5"/>
        <v>2029</v>
      </c>
      <c r="B325" s="3" t="s">
        <v>73</v>
      </c>
      <c r="C325" t="s">
        <v>10</v>
      </c>
      <c r="D325">
        <v>14019.07</v>
      </c>
      <c r="E325">
        <v>36042049.75</v>
      </c>
      <c r="F325">
        <v>140286140.27000001</v>
      </c>
      <c r="G325">
        <v>176328190.02000001</v>
      </c>
      <c r="H325" t="s">
        <v>26</v>
      </c>
    </row>
    <row r="326" spans="1:8" x14ac:dyDescent="0.2">
      <c r="A326" t="str">
        <f t="shared" si="5"/>
        <v>2029</v>
      </c>
      <c r="B326" s="3" t="s">
        <v>73</v>
      </c>
      <c r="C326" t="s">
        <v>11</v>
      </c>
      <c r="D326">
        <v>1378.2</v>
      </c>
      <c r="E326">
        <v>3011776.29</v>
      </c>
      <c r="F326">
        <v>12552617.85</v>
      </c>
      <c r="G326">
        <v>15564395.17</v>
      </c>
      <c r="H326" t="s">
        <v>26</v>
      </c>
    </row>
    <row r="327" spans="1:8" x14ac:dyDescent="0.2">
      <c r="A327" t="str">
        <f t="shared" si="5"/>
        <v>2029</v>
      </c>
      <c r="B327" s="3" t="s">
        <v>73</v>
      </c>
      <c r="C327" t="s">
        <v>12</v>
      </c>
      <c r="D327">
        <v>2963.6</v>
      </c>
      <c r="E327">
        <v>8757156.8000000007</v>
      </c>
      <c r="F327">
        <v>35734773.859999999</v>
      </c>
      <c r="G327">
        <v>44491930.659999996</v>
      </c>
      <c r="H327" t="s">
        <v>26</v>
      </c>
    </row>
    <row r="328" spans="1:8" x14ac:dyDescent="0.2">
      <c r="A328" t="str">
        <f t="shared" si="5"/>
        <v>2029</v>
      </c>
      <c r="B328" s="3" t="s">
        <v>73</v>
      </c>
      <c r="C328" t="s">
        <v>16</v>
      </c>
      <c r="D328">
        <v>299.24</v>
      </c>
      <c r="E328">
        <v>751590.45</v>
      </c>
      <c r="F328">
        <v>3385715.71</v>
      </c>
      <c r="G328">
        <v>4137306.78</v>
      </c>
      <c r="H328" t="s">
        <v>26</v>
      </c>
    </row>
    <row r="329" spans="1:8" x14ac:dyDescent="0.2">
      <c r="A329" t="str">
        <f t="shared" si="5"/>
        <v>2029</v>
      </c>
      <c r="B329" s="3" t="s">
        <v>73</v>
      </c>
      <c r="C329" t="s">
        <v>38</v>
      </c>
      <c r="D329">
        <v>551.28</v>
      </c>
      <c r="E329">
        <v>1204710.51</v>
      </c>
      <c r="F329">
        <v>5021047.1399999997</v>
      </c>
      <c r="G329">
        <v>6225758.0700000003</v>
      </c>
      <c r="H329" t="s">
        <v>26</v>
      </c>
    </row>
    <row r="330" spans="1:8" x14ac:dyDescent="0.2">
      <c r="A330" t="str">
        <f t="shared" si="5"/>
        <v>2030</v>
      </c>
      <c r="B330" s="3" t="s">
        <v>74</v>
      </c>
      <c r="C330" t="s">
        <v>8</v>
      </c>
      <c r="D330">
        <v>856.56</v>
      </c>
      <c r="E330">
        <v>1858525.97</v>
      </c>
      <c r="F330">
        <v>7250449.9500000002</v>
      </c>
      <c r="G330">
        <v>9108975.9199999999</v>
      </c>
      <c r="H330" t="s">
        <v>26</v>
      </c>
    </row>
    <row r="331" spans="1:8" x14ac:dyDescent="0.2">
      <c r="A331" t="str">
        <f t="shared" si="5"/>
        <v>2030</v>
      </c>
      <c r="B331" s="3" t="s">
        <v>74</v>
      </c>
      <c r="C331" t="s">
        <v>10</v>
      </c>
      <c r="D331">
        <v>12735.75</v>
      </c>
      <c r="E331">
        <v>32742719.18</v>
      </c>
      <c r="F331">
        <v>127444186.09999999</v>
      </c>
      <c r="G331">
        <v>160186905.28</v>
      </c>
      <c r="H331" t="s">
        <v>26</v>
      </c>
    </row>
    <row r="332" spans="1:8" x14ac:dyDescent="0.2">
      <c r="A332" t="str">
        <f t="shared" si="5"/>
        <v>2030</v>
      </c>
      <c r="B332" s="3" t="s">
        <v>74</v>
      </c>
      <c r="C332" t="s">
        <v>11</v>
      </c>
      <c r="D332">
        <v>1252.04</v>
      </c>
      <c r="E332">
        <v>2736074.83</v>
      </c>
      <c r="F332">
        <v>11403536.810000001</v>
      </c>
      <c r="G332">
        <v>14139612.58</v>
      </c>
      <c r="H332" t="s">
        <v>26</v>
      </c>
    </row>
    <row r="333" spans="1:8" x14ac:dyDescent="0.2">
      <c r="A333" t="str">
        <f t="shared" si="5"/>
        <v>2030</v>
      </c>
      <c r="B333" s="3" t="s">
        <v>74</v>
      </c>
      <c r="C333" t="s">
        <v>12</v>
      </c>
      <c r="D333">
        <v>2692.3</v>
      </c>
      <c r="E333">
        <v>7955516.6299999999</v>
      </c>
      <c r="F333">
        <v>32463571.68</v>
      </c>
      <c r="G333">
        <v>40419088.299999997</v>
      </c>
      <c r="H333" t="s">
        <v>26</v>
      </c>
    </row>
    <row r="334" spans="1:8" x14ac:dyDescent="0.2">
      <c r="A334" t="str">
        <f t="shared" si="5"/>
        <v>2030</v>
      </c>
      <c r="B334" s="3" t="s">
        <v>74</v>
      </c>
      <c r="C334" t="s">
        <v>16</v>
      </c>
      <c r="D334">
        <v>271.85000000000002</v>
      </c>
      <c r="E334">
        <v>682789</v>
      </c>
      <c r="F334">
        <v>3075783.41</v>
      </c>
      <c r="G334">
        <v>3758572.97</v>
      </c>
      <c r="H334" t="s">
        <v>26</v>
      </c>
    </row>
    <row r="335" spans="1:8" x14ac:dyDescent="0.2">
      <c r="A335" t="str">
        <f t="shared" si="5"/>
        <v>2030</v>
      </c>
      <c r="B335" s="3" t="s">
        <v>74</v>
      </c>
      <c r="C335" t="s">
        <v>38</v>
      </c>
      <c r="D335">
        <v>876.43</v>
      </c>
      <c r="E335">
        <v>1915252.38</v>
      </c>
      <c r="F335">
        <v>7982475.7699999996</v>
      </c>
      <c r="G335">
        <v>9897728.8100000005</v>
      </c>
      <c r="H335" t="s">
        <v>26</v>
      </c>
    </row>
    <row r="336" spans="1:8" x14ac:dyDescent="0.2">
      <c r="A336" t="str">
        <f t="shared" si="5"/>
        <v>2030</v>
      </c>
      <c r="B336" s="3" t="s">
        <v>75</v>
      </c>
      <c r="C336" t="s">
        <v>8</v>
      </c>
      <c r="D336">
        <v>816.21</v>
      </c>
      <c r="E336">
        <v>1770983.47</v>
      </c>
      <c r="F336">
        <v>6908930.6399999997</v>
      </c>
      <c r="G336">
        <v>8679914.1099999994</v>
      </c>
      <c r="H336" t="s">
        <v>26</v>
      </c>
    </row>
    <row r="337" spans="1:8" x14ac:dyDescent="0.2">
      <c r="A337" t="str">
        <f t="shared" si="5"/>
        <v>2030</v>
      </c>
      <c r="B337" s="3" t="s">
        <v>75</v>
      </c>
      <c r="C337" t="s">
        <v>10</v>
      </c>
      <c r="D337">
        <v>12135.85</v>
      </c>
      <c r="E337">
        <v>31200432.719999999</v>
      </c>
      <c r="F337">
        <v>121441158.62</v>
      </c>
      <c r="G337">
        <v>152641591.34</v>
      </c>
      <c r="H337" t="s">
        <v>26</v>
      </c>
    </row>
    <row r="338" spans="1:8" x14ac:dyDescent="0.2">
      <c r="A338" t="str">
        <f t="shared" si="5"/>
        <v>2030</v>
      </c>
      <c r="B338" s="3" t="s">
        <v>75</v>
      </c>
      <c r="C338" t="s">
        <v>11</v>
      </c>
      <c r="D338">
        <v>1193.07</v>
      </c>
      <c r="E338">
        <v>2607196.98</v>
      </c>
      <c r="F338">
        <v>10866393.869999999</v>
      </c>
      <c r="G338">
        <v>13473591.75</v>
      </c>
      <c r="H338" t="s">
        <v>26</v>
      </c>
    </row>
    <row r="339" spans="1:8" x14ac:dyDescent="0.2">
      <c r="A339" t="str">
        <f t="shared" si="5"/>
        <v>2030</v>
      </c>
      <c r="B339" s="3" t="s">
        <v>75</v>
      </c>
      <c r="C339" t="s">
        <v>12</v>
      </c>
      <c r="D339">
        <v>2565.4899999999998</v>
      </c>
      <c r="E339">
        <v>7580786.4299999997</v>
      </c>
      <c r="F339">
        <v>30934433.949999999</v>
      </c>
      <c r="G339">
        <v>38515220.380000003</v>
      </c>
      <c r="H339" t="s">
        <v>26</v>
      </c>
    </row>
    <row r="340" spans="1:8" x14ac:dyDescent="0.2">
      <c r="A340" t="str">
        <f t="shared" si="5"/>
        <v>2030</v>
      </c>
      <c r="B340" s="3" t="s">
        <v>75</v>
      </c>
      <c r="C340" t="s">
        <v>16</v>
      </c>
      <c r="D340">
        <v>259.04000000000002</v>
      </c>
      <c r="E340">
        <v>650627.46</v>
      </c>
      <c r="F340">
        <v>2930904.21</v>
      </c>
      <c r="G340">
        <v>3581532.2</v>
      </c>
      <c r="H340" t="s">
        <v>26</v>
      </c>
    </row>
    <row r="341" spans="1:8" x14ac:dyDescent="0.2">
      <c r="A341" t="str">
        <f t="shared" si="5"/>
        <v>2030</v>
      </c>
      <c r="B341" s="3" t="s">
        <v>75</v>
      </c>
      <c r="C341" t="s">
        <v>38</v>
      </c>
      <c r="D341">
        <v>835.15</v>
      </c>
      <c r="E341">
        <v>1825037.89</v>
      </c>
      <c r="F341">
        <v>7606475.71</v>
      </c>
      <c r="G341">
        <v>9431514.2300000004</v>
      </c>
      <c r="H341" t="s">
        <v>26</v>
      </c>
    </row>
    <row r="342" spans="1:8" x14ac:dyDescent="0.2">
      <c r="A342" t="str">
        <f t="shared" si="5"/>
        <v>2030</v>
      </c>
      <c r="B342" s="3" t="s">
        <v>76</v>
      </c>
      <c r="C342" t="s">
        <v>8</v>
      </c>
      <c r="D342">
        <v>1015.6</v>
      </c>
      <c r="E342">
        <v>2203598.88</v>
      </c>
      <c r="F342">
        <v>8596642.5</v>
      </c>
      <c r="G342">
        <v>10800241.380000001</v>
      </c>
      <c r="H342" t="s">
        <v>26</v>
      </c>
    </row>
    <row r="343" spans="1:8" x14ac:dyDescent="0.2">
      <c r="A343" t="str">
        <f t="shared" si="5"/>
        <v>2030</v>
      </c>
      <c r="B343" s="3" t="s">
        <v>76</v>
      </c>
      <c r="C343" t="s">
        <v>10</v>
      </c>
      <c r="D343">
        <v>15100.4</v>
      </c>
      <c r="E343">
        <v>38822066.700000003</v>
      </c>
      <c r="F343">
        <v>151106774.78999999</v>
      </c>
      <c r="G343">
        <v>189928841.49000001</v>
      </c>
      <c r="H343" t="s">
        <v>26</v>
      </c>
    </row>
    <row r="344" spans="1:8" x14ac:dyDescent="0.2">
      <c r="A344" t="str">
        <f t="shared" si="5"/>
        <v>2030</v>
      </c>
      <c r="B344" s="3" t="s">
        <v>76</v>
      </c>
      <c r="C344" t="s">
        <v>11</v>
      </c>
      <c r="D344">
        <v>1484.51</v>
      </c>
      <c r="E344">
        <v>3244082.42</v>
      </c>
      <c r="F344">
        <v>13520833.880000001</v>
      </c>
      <c r="G344">
        <v>16764917.41</v>
      </c>
      <c r="H344" t="s">
        <v>26</v>
      </c>
    </row>
    <row r="345" spans="1:8" x14ac:dyDescent="0.2">
      <c r="A345" t="str">
        <f t="shared" si="5"/>
        <v>2030</v>
      </c>
      <c r="B345" s="3" t="s">
        <v>76</v>
      </c>
      <c r="C345" t="s">
        <v>12</v>
      </c>
      <c r="D345">
        <v>3192.18</v>
      </c>
      <c r="E345">
        <v>9432619.0600000005</v>
      </c>
      <c r="F345">
        <v>38491089.82</v>
      </c>
      <c r="G345">
        <v>47923708.880000003</v>
      </c>
      <c r="H345" t="s">
        <v>26</v>
      </c>
    </row>
    <row r="346" spans="1:8" x14ac:dyDescent="0.2">
      <c r="A346" t="str">
        <f t="shared" si="5"/>
        <v>2030</v>
      </c>
      <c r="B346" s="3" t="s">
        <v>76</v>
      </c>
      <c r="C346" t="s">
        <v>16</v>
      </c>
      <c r="D346">
        <v>322.32</v>
      </c>
      <c r="E346">
        <v>809562.58</v>
      </c>
      <c r="F346">
        <v>3646864.76</v>
      </c>
      <c r="G346">
        <v>4456428</v>
      </c>
      <c r="H346" t="s">
        <v>26</v>
      </c>
    </row>
    <row r="347" spans="1:8" x14ac:dyDescent="0.2">
      <c r="A347" t="str">
        <f t="shared" si="5"/>
        <v>2030</v>
      </c>
      <c r="B347" s="3" t="s">
        <v>76</v>
      </c>
      <c r="C347" t="s">
        <v>38</v>
      </c>
      <c r="D347">
        <v>1039.1600000000001</v>
      </c>
      <c r="E347">
        <v>2270857.69</v>
      </c>
      <c r="F347">
        <v>9464583.7100000009</v>
      </c>
      <c r="G347">
        <v>11735442.189999999</v>
      </c>
      <c r="H347" t="s">
        <v>26</v>
      </c>
    </row>
    <row r="348" spans="1:8" x14ac:dyDescent="0.2">
      <c r="A348" t="str">
        <f t="shared" si="5"/>
        <v>2030</v>
      </c>
      <c r="B348" s="3" t="s">
        <v>77</v>
      </c>
      <c r="C348" t="s">
        <v>8</v>
      </c>
      <c r="D348">
        <v>1076.67</v>
      </c>
      <c r="E348">
        <v>2336123.19</v>
      </c>
      <c r="F348">
        <v>9113644.0800000001</v>
      </c>
      <c r="G348">
        <v>11449767.26</v>
      </c>
      <c r="H348" t="s">
        <v>26</v>
      </c>
    </row>
    <row r="349" spans="1:8" x14ac:dyDescent="0.2">
      <c r="A349" t="str">
        <f t="shared" si="5"/>
        <v>2030</v>
      </c>
      <c r="B349" s="3" t="s">
        <v>77</v>
      </c>
      <c r="C349" t="s">
        <v>10</v>
      </c>
      <c r="D349">
        <v>16008.54</v>
      </c>
      <c r="E349">
        <v>41156823.5</v>
      </c>
      <c r="F349">
        <v>160194327.31</v>
      </c>
      <c r="G349">
        <v>201351150.81</v>
      </c>
      <c r="H349" t="s">
        <v>26</v>
      </c>
    </row>
    <row r="350" spans="1:8" x14ac:dyDescent="0.2">
      <c r="A350" t="str">
        <f t="shared" si="5"/>
        <v>2030</v>
      </c>
      <c r="B350" s="3" t="s">
        <v>77</v>
      </c>
      <c r="C350" t="s">
        <v>11</v>
      </c>
      <c r="D350">
        <v>1573.79</v>
      </c>
      <c r="E350">
        <v>3439181.34</v>
      </c>
      <c r="F350">
        <v>14333976.029999999</v>
      </c>
      <c r="G350">
        <v>17773158.550000001</v>
      </c>
      <c r="H350" t="s">
        <v>26</v>
      </c>
    </row>
    <row r="351" spans="1:8" x14ac:dyDescent="0.2">
      <c r="A351" t="str">
        <f t="shared" si="5"/>
        <v>2030</v>
      </c>
      <c r="B351" s="3" t="s">
        <v>77</v>
      </c>
      <c r="C351" t="s">
        <v>12</v>
      </c>
      <c r="D351">
        <v>3384.16</v>
      </c>
      <c r="E351">
        <v>9999896.2200000007</v>
      </c>
      <c r="F351">
        <v>40805941.689999998</v>
      </c>
      <c r="G351">
        <v>50805837.899999999</v>
      </c>
      <c r="H351" t="s">
        <v>26</v>
      </c>
    </row>
    <row r="352" spans="1:8" x14ac:dyDescent="0.2">
      <c r="A352" t="str">
        <f t="shared" si="5"/>
        <v>2030</v>
      </c>
      <c r="B352" s="3" t="s">
        <v>77</v>
      </c>
      <c r="C352" t="s">
        <v>16</v>
      </c>
      <c r="D352">
        <v>341.7</v>
      </c>
      <c r="E352">
        <v>858249.62</v>
      </c>
      <c r="F352">
        <v>3866187</v>
      </c>
      <c r="G352">
        <v>4724437.32</v>
      </c>
      <c r="H352" t="s">
        <v>26</v>
      </c>
    </row>
    <row r="353" spans="1:8" x14ac:dyDescent="0.2">
      <c r="A353" t="str">
        <f t="shared" si="5"/>
        <v>2030</v>
      </c>
      <c r="B353" s="3" t="s">
        <v>77</v>
      </c>
      <c r="C353" t="s">
        <v>38</v>
      </c>
      <c r="D353">
        <v>1101.6500000000001</v>
      </c>
      <c r="E353">
        <v>2407426.94</v>
      </c>
      <c r="F353">
        <v>10033783.220000001</v>
      </c>
      <c r="G353">
        <v>12441210.99</v>
      </c>
      <c r="H353" t="s">
        <v>26</v>
      </c>
    </row>
    <row r="354" spans="1:8" x14ac:dyDescent="0.2">
      <c r="A354" t="str">
        <f t="shared" si="5"/>
        <v>2030</v>
      </c>
      <c r="B354" s="3" t="s">
        <v>78</v>
      </c>
      <c r="C354" t="s">
        <v>8</v>
      </c>
      <c r="D354">
        <v>1164.8800000000001</v>
      </c>
      <c r="E354">
        <v>2527518.87</v>
      </c>
      <c r="F354">
        <v>9860313.6600000001</v>
      </c>
      <c r="G354">
        <v>12387832.52</v>
      </c>
      <c r="H354" t="s">
        <v>26</v>
      </c>
    </row>
    <row r="355" spans="1:8" x14ac:dyDescent="0.2">
      <c r="A355" t="str">
        <f t="shared" si="5"/>
        <v>2030</v>
      </c>
      <c r="B355" s="3" t="s">
        <v>78</v>
      </c>
      <c r="C355" t="s">
        <v>10</v>
      </c>
      <c r="D355">
        <v>17320.09</v>
      </c>
      <c r="E355">
        <v>44528751.109999999</v>
      </c>
      <c r="F355">
        <v>173318850.28</v>
      </c>
      <c r="G355">
        <v>217847601.38999999</v>
      </c>
      <c r="H355" t="s">
        <v>26</v>
      </c>
    </row>
    <row r="356" spans="1:8" x14ac:dyDescent="0.2">
      <c r="A356" t="str">
        <f t="shared" si="5"/>
        <v>2030</v>
      </c>
      <c r="B356" s="3" t="s">
        <v>78</v>
      </c>
      <c r="C356" t="s">
        <v>11</v>
      </c>
      <c r="D356">
        <v>1702.73</v>
      </c>
      <c r="E356">
        <v>3720949.21</v>
      </c>
      <c r="F356">
        <v>15508340.949999999</v>
      </c>
      <c r="G356">
        <v>19229291.440000001</v>
      </c>
      <c r="H356" t="s">
        <v>26</v>
      </c>
    </row>
    <row r="357" spans="1:8" x14ac:dyDescent="0.2">
      <c r="A357" t="str">
        <f t="shared" si="5"/>
        <v>2030</v>
      </c>
      <c r="B357" s="3" t="s">
        <v>78</v>
      </c>
      <c r="C357" t="s">
        <v>12</v>
      </c>
      <c r="D357">
        <v>3661.42</v>
      </c>
      <c r="E357">
        <v>10819175.34</v>
      </c>
      <c r="F357">
        <v>44149121.990000002</v>
      </c>
      <c r="G357">
        <v>54968297.32</v>
      </c>
      <c r="H357" t="s">
        <v>26</v>
      </c>
    </row>
    <row r="358" spans="1:8" x14ac:dyDescent="0.2">
      <c r="A358" t="str">
        <f t="shared" si="5"/>
        <v>2030</v>
      </c>
      <c r="B358" s="3" t="s">
        <v>78</v>
      </c>
      <c r="C358" t="s">
        <v>16</v>
      </c>
      <c r="D358">
        <v>369.7</v>
      </c>
      <c r="E358">
        <v>928564.95</v>
      </c>
      <c r="F358">
        <v>4182938.91</v>
      </c>
      <c r="G358">
        <v>5111504.62</v>
      </c>
      <c r="H358" t="s">
        <v>26</v>
      </c>
    </row>
    <row r="359" spans="1:8" x14ac:dyDescent="0.2">
      <c r="A359" t="str">
        <f t="shared" si="5"/>
        <v>2030</v>
      </c>
      <c r="B359" s="3" t="s">
        <v>78</v>
      </c>
      <c r="C359" t="s">
        <v>38</v>
      </c>
      <c r="D359">
        <v>1191.9100000000001</v>
      </c>
      <c r="E359">
        <v>2604664.4500000002</v>
      </c>
      <c r="F359">
        <v>10855838.66</v>
      </c>
      <c r="G359">
        <v>13460504</v>
      </c>
      <c r="H359" t="s">
        <v>26</v>
      </c>
    </row>
    <row r="360" spans="1:8" x14ac:dyDescent="0.2">
      <c r="A360" t="str">
        <f t="shared" si="5"/>
        <v>2030</v>
      </c>
      <c r="B360" s="3" t="s">
        <v>79</v>
      </c>
      <c r="C360" t="s">
        <v>8</v>
      </c>
      <c r="D360">
        <v>1191.96</v>
      </c>
      <c r="E360">
        <v>2586262.81</v>
      </c>
      <c r="F360">
        <v>10089484.550000001</v>
      </c>
      <c r="G360">
        <v>12675747.359999999</v>
      </c>
      <c r="H360" t="s">
        <v>26</v>
      </c>
    </row>
    <row r="361" spans="1:8" x14ac:dyDescent="0.2">
      <c r="A361" t="str">
        <f t="shared" si="5"/>
        <v>2030</v>
      </c>
      <c r="B361" s="3" t="s">
        <v>79</v>
      </c>
      <c r="C361" t="s">
        <v>10</v>
      </c>
      <c r="D361">
        <v>17722.64</v>
      </c>
      <c r="E361">
        <v>45563676.960000001</v>
      </c>
      <c r="F361">
        <v>177347082.69999999</v>
      </c>
      <c r="G361">
        <v>222910759.66</v>
      </c>
      <c r="H361" t="s">
        <v>26</v>
      </c>
    </row>
    <row r="362" spans="1:8" x14ac:dyDescent="0.2">
      <c r="A362" t="str">
        <f t="shared" si="5"/>
        <v>2030</v>
      </c>
      <c r="B362" s="3" t="s">
        <v>79</v>
      </c>
      <c r="C362" t="s">
        <v>11</v>
      </c>
      <c r="D362">
        <v>1742.3</v>
      </c>
      <c r="E362">
        <v>3807430.56</v>
      </c>
      <c r="F362">
        <v>15868781.84</v>
      </c>
      <c r="G362">
        <v>19676213.710000001</v>
      </c>
      <c r="H362" t="s">
        <v>26</v>
      </c>
    </row>
    <row r="363" spans="1:8" x14ac:dyDescent="0.2">
      <c r="A363" t="str">
        <f t="shared" si="5"/>
        <v>2030</v>
      </c>
      <c r="B363" s="3" t="s">
        <v>79</v>
      </c>
      <c r="C363" t="s">
        <v>12</v>
      </c>
      <c r="D363">
        <v>3746.52</v>
      </c>
      <c r="E363">
        <v>11070631.84</v>
      </c>
      <c r="F363">
        <v>45175224.600000001</v>
      </c>
      <c r="G363">
        <v>56245856.439999998</v>
      </c>
      <c r="H363" t="s">
        <v>26</v>
      </c>
    </row>
    <row r="364" spans="1:8" x14ac:dyDescent="0.2">
      <c r="A364" t="str">
        <f t="shared" si="5"/>
        <v>2030</v>
      </c>
      <c r="B364" s="3" t="s">
        <v>79</v>
      </c>
      <c r="C364" t="s">
        <v>16</v>
      </c>
      <c r="D364">
        <v>378.29</v>
      </c>
      <c r="E364">
        <v>950146.42</v>
      </c>
      <c r="F364">
        <v>4280157.71</v>
      </c>
      <c r="G364">
        <v>5230304.91</v>
      </c>
      <c r="H364" t="s">
        <v>26</v>
      </c>
    </row>
    <row r="365" spans="1:8" x14ac:dyDescent="0.2">
      <c r="A365" t="str">
        <f t="shared" si="5"/>
        <v>2030</v>
      </c>
      <c r="B365" s="3" t="s">
        <v>79</v>
      </c>
      <c r="C365" t="s">
        <v>38</v>
      </c>
      <c r="D365">
        <v>1219.6099999999999</v>
      </c>
      <c r="E365">
        <v>2665201.39</v>
      </c>
      <c r="F365">
        <v>11108147.289999999</v>
      </c>
      <c r="G365">
        <v>13773349.6</v>
      </c>
      <c r="H365" t="s">
        <v>26</v>
      </c>
    </row>
    <row r="366" spans="1:8" x14ac:dyDescent="0.2">
      <c r="A366" t="str">
        <f t="shared" si="5"/>
        <v>2030</v>
      </c>
      <c r="B366" s="3" t="s">
        <v>80</v>
      </c>
      <c r="C366" t="s">
        <v>8</v>
      </c>
      <c r="D366">
        <v>1272.01</v>
      </c>
      <c r="E366">
        <v>2759946.11</v>
      </c>
      <c r="F366">
        <v>10767054.880000001</v>
      </c>
      <c r="G366">
        <v>13527000.99</v>
      </c>
      <c r="H366" t="s">
        <v>26</v>
      </c>
    </row>
    <row r="367" spans="1:8" x14ac:dyDescent="0.2">
      <c r="A367" t="str">
        <f t="shared" si="5"/>
        <v>2030</v>
      </c>
      <c r="B367" s="3" t="s">
        <v>80</v>
      </c>
      <c r="C367" t="s">
        <v>10</v>
      </c>
      <c r="D367">
        <v>18912.830000000002</v>
      </c>
      <c r="E367">
        <v>48623555.340000004</v>
      </c>
      <c r="F367">
        <v>189257019.31999999</v>
      </c>
      <c r="G367">
        <v>237880574.66999999</v>
      </c>
      <c r="H367" t="s">
        <v>26</v>
      </c>
    </row>
    <row r="368" spans="1:8" x14ac:dyDescent="0.2">
      <c r="A368" t="str">
        <f t="shared" si="5"/>
        <v>2030</v>
      </c>
      <c r="B368" s="3" t="s">
        <v>80</v>
      </c>
      <c r="C368" t="s">
        <v>11</v>
      </c>
      <c r="D368">
        <v>1859.31</v>
      </c>
      <c r="E368">
        <v>4063122.71</v>
      </c>
      <c r="F368">
        <v>16934467.18</v>
      </c>
      <c r="G368">
        <v>20997591.289999999</v>
      </c>
      <c r="H368" t="s">
        <v>26</v>
      </c>
    </row>
    <row r="369" spans="1:8" x14ac:dyDescent="0.2">
      <c r="A369" t="str">
        <f t="shared" si="5"/>
        <v>2030</v>
      </c>
      <c r="B369" s="3" t="s">
        <v>80</v>
      </c>
      <c r="C369" t="s">
        <v>12</v>
      </c>
      <c r="D369">
        <v>3998.12</v>
      </c>
      <c r="E369">
        <v>11814092.189999999</v>
      </c>
      <c r="F369">
        <v>48209016.039999999</v>
      </c>
      <c r="G369">
        <v>60023108.229999997</v>
      </c>
      <c r="H369" t="s">
        <v>26</v>
      </c>
    </row>
    <row r="370" spans="1:8" x14ac:dyDescent="0.2">
      <c r="A370" t="str">
        <f t="shared" si="5"/>
        <v>2030</v>
      </c>
      <c r="B370" s="3" t="s">
        <v>80</v>
      </c>
      <c r="C370" t="s">
        <v>16</v>
      </c>
      <c r="D370">
        <v>403.7</v>
      </c>
      <c r="E370">
        <v>1013954.54</v>
      </c>
      <c r="F370">
        <v>4567596.3600000003</v>
      </c>
      <c r="G370">
        <v>5581551.7300000004</v>
      </c>
      <c r="H370" t="s">
        <v>26</v>
      </c>
    </row>
    <row r="371" spans="1:8" x14ac:dyDescent="0.2">
      <c r="A371" t="str">
        <f t="shared" si="5"/>
        <v>2030</v>
      </c>
      <c r="B371" s="3" t="s">
        <v>80</v>
      </c>
      <c r="C371" t="s">
        <v>38</v>
      </c>
      <c r="D371">
        <v>1301.51</v>
      </c>
      <c r="E371">
        <v>2844185.9</v>
      </c>
      <c r="F371">
        <v>11854127.029999999</v>
      </c>
      <c r="G371">
        <v>14698313.9</v>
      </c>
      <c r="H371" t="s">
        <v>26</v>
      </c>
    </row>
    <row r="372" spans="1:8" x14ac:dyDescent="0.2">
      <c r="A372" t="str">
        <f t="shared" si="5"/>
        <v>2030</v>
      </c>
      <c r="B372" s="3" t="s">
        <v>81</v>
      </c>
      <c r="C372" t="s">
        <v>8</v>
      </c>
      <c r="D372">
        <v>1286.04</v>
      </c>
      <c r="E372">
        <v>2790401.22</v>
      </c>
      <c r="F372">
        <v>10885865.810000001</v>
      </c>
      <c r="G372">
        <v>13676267.029999999</v>
      </c>
      <c r="H372" t="s">
        <v>26</v>
      </c>
    </row>
    <row r="373" spans="1:8" x14ac:dyDescent="0.2">
      <c r="A373" t="str">
        <f t="shared" si="5"/>
        <v>2030</v>
      </c>
      <c r="B373" s="3" t="s">
        <v>81</v>
      </c>
      <c r="C373" t="s">
        <v>10</v>
      </c>
      <c r="D373">
        <v>19121.52</v>
      </c>
      <c r="E373">
        <v>49160100.420000002</v>
      </c>
      <c r="F373">
        <v>191345408.80000001</v>
      </c>
      <c r="G373">
        <v>240505509.22</v>
      </c>
      <c r="H373" t="s">
        <v>26</v>
      </c>
    </row>
    <row r="374" spans="1:8" x14ac:dyDescent="0.2">
      <c r="A374" t="str">
        <f t="shared" si="5"/>
        <v>2030</v>
      </c>
      <c r="B374" s="3" t="s">
        <v>81</v>
      </c>
      <c r="C374" t="s">
        <v>11</v>
      </c>
      <c r="D374">
        <v>1879.82</v>
      </c>
      <c r="E374">
        <v>4107957.95</v>
      </c>
      <c r="F374">
        <v>17121333.5</v>
      </c>
      <c r="G374">
        <v>21229292.859999999</v>
      </c>
      <c r="H374" t="s">
        <v>26</v>
      </c>
    </row>
    <row r="375" spans="1:8" x14ac:dyDescent="0.2">
      <c r="A375" t="str">
        <f t="shared" si="5"/>
        <v>2030</v>
      </c>
      <c r="B375" s="3" t="s">
        <v>81</v>
      </c>
      <c r="C375" t="s">
        <v>12</v>
      </c>
      <c r="D375">
        <v>4042.24</v>
      </c>
      <c r="E375">
        <v>11944456.84</v>
      </c>
      <c r="F375">
        <v>48740986.810000002</v>
      </c>
      <c r="G375">
        <v>60685443.649999999</v>
      </c>
      <c r="H375" t="s">
        <v>26</v>
      </c>
    </row>
    <row r="376" spans="1:8" x14ac:dyDescent="0.2">
      <c r="A376" t="str">
        <f t="shared" si="5"/>
        <v>2030</v>
      </c>
      <c r="B376" s="3" t="s">
        <v>81</v>
      </c>
      <c r="C376" t="s">
        <v>16</v>
      </c>
      <c r="D376">
        <v>408.15</v>
      </c>
      <c r="E376">
        <v>1025143.2</v>
      </c>
      <c r="F376">
        <v>4617998.3</v>
      </c>
      <c r="G376">
        <v>5643142.3399999999</v>
      </c>
      <c r="H376" t="s">
        <v>26</v>
      </c>
    </row>
    <row r="377" spans="1:8" x14ac:dyDescent="0.2">
      <c r="A377" t="str">
        <f t="shared" si="5"/>
        <v>2030</v>
      </c>
      <c r="B377" s="3" t="s">
        <v>81</v>
      </c>
      <c r="C377" t="s">
        <v>38</v>
      </c>
      <c r="D377">
        <v>1315.88</v>
      </c>
      <c r="E377">
        <v>2875570.56</v>
      </c>
      <c r="F377">
        <v>11984933.449999999</v>
      </c>
      <c r="G377">
        <v>14860505</v>
      </c>
      <c r="H377" t="s">
        <v>26</v>
      </c>
    </row>
    <row r="378" spans="1:8" x14ac:dyDescent="0.2">
      <c r="A378" t="str">
        <f t="shared" si="5"/>
        <v>2030</v>
      </c>
      <c r="B378" s="3" t="s">
        <v>82</v>
      </c>
      <c r="C378" t="s">
        <v>8</v>
      </c>
      <c r="D378">
        <v>1182.3900000000001</v>
      </c>
      <c r="E378">
        <v>2565492.1800000002</v>
      </c>
      <c r="F378">
        <v>10008454.49</v>
      </c>
      <c r="G378">
        <v>12573946.67</v>
      </c>
      <c r="H378" t="s">
        <v>26</v>
      </c>
    </row>
    <row r="379" spans="1:8" x14ac:dyDescent="0.2">
      <c r="A379" t="str">
        <f t="shared" si="5"/>
        <v>2030</v>
      </c>
      <c r="B379" s="3" t="s">
        <v>82</v>
      </c>
      <c r="C379" t="s">
        <v>10</v>
      </c>
      <c r="D379">
        <v>17580.310000000001</v>
      </c>
      <c r="E379">
        <v>45197748.729999997</v>
      </c>
      <c r="F379">
        <v>175922783.59999999</v>
      </c>
      <c r="G379">
        <v>221120532.33000001</v>
      </c>
      <c r="H379" t="s">
        <v>26</v>
      </c>
    </row>
    <row r="380" spans="1:8" x14ac:dyDescent="0.2">
      <c r="A380" t="str">
        <f t="shared" si="5"/>
        <v>2030</v>
      </c>
      <c r="B380" s="3" t="s">
        <v>82</v>
      </c>
      <c r="C380" t="s">
        <v>11</v>
      </c>
      <c r="D380">
        <v>1728.31</v>
      </c>
      <c r="E380">
        <v>3776852.56</v>
      </c>
      <c r="F380">
        <v>15741337.449999999</v>
      </c>
      <c r="G380">
        <v>19518191.300000001</v>
      </c>
      <c r="H380" t="s">
        <v>26</v>
      </c>
    </row>
    <row r="381" spans="1:8" x14ac:dyDescent="0.2">
      <c r="A381" t="str">
        <f t="shared" si="5"/>
        <v>2030</v>
      </c>
      <c r="B381" s="3" t="s">
        <v>82</v>
      </c>
      <c r="C381" t="s">
        <v>12</v>
      </c>
      <c r="D381">
        <v>3716.43</v>
      </c>
      <c r="E381">
        <v>10981722.060000001</v>
      </c>
      <c r="F381">
        <v>44812416.079999998</v>
      </c>
      <c r="G381">
        <v>55794138.140000001</v>
      </c>
      <c r="H381" t="s">
        <v>26</v>
      </c>
    </row>
    <row r="382" spans="1:8" x14ac:dyDescent="0.2">
      <c r="A382" t="str">
        <f t="shared" si="5"/>
        <v>2030</v>
      </c>
      <c r="B382" s="3" t="s">
        <v>82</v>
      </c>
      <c r="C382" t="s">
        <v>16</v>
      </c>
      <c r="D382">
        <v>375.25</v>
      </c>
      <c r="E382">
        <v>942515.66</v>
      </c>
      <c r="F382">
        <v>4245783.17</v>
      </c>
      <c r="G382">
        <v>5188299.5999999996</v>
      </c>
      <c r="H382" t="s">
        <v>26</v>
      </c>
    </row>
    <row r="383" spans="1:8" x14ac:dyDescent="0.2">
      <c r="A383" t="str">
        <f t="shared" si="5"/>
        <v>2030</v>
      </c>
      <c r="B383" s="3" t="s">
        <v>82</v>
      </c>
      <c r="C383" t="s">
        <v>38</v>
      </c>
      <c r="D383">
        <v>1209.82</v>
      </c>
      <c r="E383">
        <v>2643796.79</v>
      </c>
      <c r="F383">
        <v>11018936.210000001</v>
      </c>
      <c r="G383">
        <v>13662733.91</v>
      </c>
      <c r="H383" t="s">
        <v>26</v>
      </c>
    </row>
    <row r="384" spans="1:8" x14ac:dyDescent="0.2">
      <c r="A384" t="str">
        <f t="shared" si="5"/>
        <v>2030</v>
      </c>
      <c r="B384" s="3" t="s">
        <v>83</v>
      </c>
      <c r="C384" t="s">
        <v>8</v>
      </c>
      <c r="D384">
        <v>1146.8</v>
      </c>
      <c r="E384">
        <v>2488271.2799999998</v>
      </c>
      <c r="F384">
        <v>9707201.6500000004</v>
      </c>
      <c r="G384">
        <v>12195472.93</v>
      </c>
      <c r="H384" t="s">
        <v>26</v>
      </c>
    </row>
    <row r="385" spans="1:8" x14ac:dyDescent="0.2">
      <c r="A385" t="str">
        <f t="shared" si="5"/>
        <v>2030</v>
      </c>
      <c r="B385" s="3" t="s">
        <v>83</v>
      </c>
      <c r="C385" t="s">
        <v>10</v>
      </c>
      <c r="D385">
        <v>17051.150000000001</v>
      </c>
      <c r="E385">
        <v>43837303.899999999</v>
      </c>
      <c r="F385">
        <v>170627536.65000001</v>
      </c>
      <c r="G385">
        <v>214464840.55000001</v>
      </c>
      <c r="H385" t="s">
        <v>26</v>
      </c>
    </row>
    <row r="386" spans="1:8" x14ac:dyDescent="0.2">
      <c r="A386" t="str">
        <f t="shared" si="5"/>
        <v>2030</v>
      </c>
      <c r="B386" s="3" t="s">
        <v>83</v>
      </c>
      <c r="C386" t="s">
        <v>11</v>
      </c>
      <c r="D386">
        <v>1676.29</v>
      </c>
      <c r="E386">
        <v>3663169.92</v>
      </c>
      <c r="F386">
        <v>15267525.77</v>
      </c>
      <c r="G386">
        <v>18930696.940000001</v>
      </c>
      <c r="H386" t="s">
        <v>26</v>
      </c>
    </row>
    <row r="387" spans="1:8" x14ac:dyDescent="0.2">
      <c r="A387" t="str">
        <f t="shared" ref="A387:A450" si="6">LEFT(B387,4)</f>
        <v>2030</v>
      </c>
      <c r="B387" s="3" t="s">
        <v>83</v>
      </c>
      <c r="C387" t="s">
        <v>12</v>
      </c>
      <c r="D387">
        <v>3604.57</v>
      </c>
      <c r="E387">
        <v>10651174.02</v>
      </c>
      <c r="F387">
        <v>43463569.700000003</v>
      </c>
      <c r="G387">
        <v>54114743.729999997</v>
      </c>
      <c r="H387" t="s">
        <v>26</v>
      </c>
    </row>
    <row r="388" spans="1:8" x14ac:dyDescent="0.2">
      <c r="A388" t="str">
        <f t="shared" si="6"/>
        <v>2030</v>
      </c>
      <c r="B388" s="3" t="s">
        <v>83</v>
      </c>
      <c r="C388" t="s">
        <v>16</v>
      </c>
      <c r="D388">
        <v>363.96</v>
      </c>
      <c r="E388">
        <v>914146.09</v>
      </c>
      <c r="F388">
        <v>4117985.79</v>
      </c>
      <c r="G388">
        <v>5032132.63</v>
      </c>
      <c r="H388" t="s">
        <v>26</v>
      </c>
    </row>
    <row r="389" spans="1:8" x14ac:dyDescent="0.2">
      <c r="A389" t="str">
        <f t="shared" si="6"/>
        <v>2030</v>
      </c>
      <c r="B389" s="3" t="s">
        <v>83</v>
      </c>
      <c r="C389" t="s">
        <v>38</v>
      </c>
      <c r="D389">
        <v>1173.4000000000001</v>
      </c>
      <c r="E389">
        <v>2564218.94</v>
      </c>
      <c r="F389">
        <v>10687268.039999999</v>
      </c>
      <c r="G389">
        <v>13251487.859999999</v>
      </c>
      <c r="H389" t="s">
        <v>26</v>
      </c>
    </row>
    <row r="390" spans="1:8" x14ac:dyDescent="0.2">
      <c r="A390" t="str">
        <f t="shared" si="6"/>
        <v>2030</v>
      </c>
      <c r="B390" s="3" t="s">
        <v>84</v>
      </c>
      <c r="C390" t="s">
        <v>8</v>
      </c>
      <c r="D390">
        <v>934.2</v>
      </c>
      <c r="E390">
        <v>2026984.75</v>
      </c>
      <c r="F390">
        <v>7907638.4800000004</v>
      </c>
      <c r="G390">
        <v>9934623.2400000002</v>
      </c>
      <c r="H390" t="s">
        <v>26</v>
      </c>
    </row>
    <row r="391" spans="1:8" x14ac:dyDescent="0.2">
      <c r="A391" t="str">
        <f t="shared" si="6"/>
        <v>2030</v>
      </c>
      <c r="B391" s="3" t="s">
        <v>84</v>
      </c>
      <c r="C391" t="s">
        <v>10</v>
      </c>
      <c r="D391">
        <v>13890.13</v>
      </c>
      <c r="E391">
        <v>35710554.270000003</v>
      </c>
      <c r="F391">
        <v>138995863.44999999</v>
      </c>
      <c r="G391">
        <v>174706417.71000001</v>
      </c>
      <c r="H391" t="s">
        <v>26</v>
      </c>
    </row>
    <row r="392" spans="1:8" x14ac:dyDescent="0.2">
      <c r="A392" t="str">
        <f t="shared" si="6"/>
        <v>2030</v>
      </c>
      <c r="B392" s="3" t="s">
        <v>84</v>
      </c>
      <c r="C392" t="s">
        <v>11</v>
      </c>
      <c r="D392">
        <v>1365.53</v>
      </c>
      <c r="E392">
        <v>2984075.58</v>
      </c>
      <c r="F392">
        <v>12437165.59</v>
      </c>
      <c r="G392">
        <v>15421242.189999999</v>
      </c>
      <c r="H392" t="s">
        <v>26</v>
      </c>
    </row>
    <row r="393" spans="1:8" x14ac:dyDescent="0.2">
      <c r="A393" t="str">
        <f t="shared" si="6"/>
        <v>2030</v>
      </c>
      <c r="B393" s="3" t="s">
        <v>84</v>
      </c>
      <c r="C393" t="s">
        <v>12</v>
      </c>
      <c r="D393">
        <v>2936.34</v>
      </c>
      <c r="E393">
        <v>8676613.1600000001</v>
      </c>
      <c r="F393">
        <v>35406104.539999999</v>
      </c>
      <c r="G393">
        <v>44082717.700000003</v>
      </c>
      <c r="H393" t="s">
        <v>26</v>
      </c>
    </row>
    <row r="394" spans="1:8" x14ac:dyDescent="0.2">
      <c r="A394" t="str">
        <f t="shared" si="6"/>
        <v>2030</v>
      </c>
      <c r="B394" s="3" t="s">
        <v>84</v>
      </c>
      <c r="C394" t="s">
        <v>16</v>
      </c>
      <c r="D394">
        <v>296.49</v>
      </c>
      <c r="E394">
        <v>744677.72</v>
      </c>
      <c r="F394">
        <v>3354575.71</v>
      </c>
      <c r="G394">
        <v>4099254.05</v>
      </c>
      <c r="H394" t="s">
        <v>26</v>
      </c>
    </row>
    <row r="395" spans="1:8" x14ac:dyDescent="0.2">
      <c r="A395" t="str">
        <f t="shared" si="6"/>
        <v>2030</v>
      </c>
      <c r="B395" s="3" t="s">
        <v>84</v>
      </c>
      <c r="C395" t="s">
        <v>38</v>
      </c>
      <c r="D395">
        <v>955.87</v>
      </c>
      <c r="E395">
        <v>2088852.91</v>
      </c>
      <c r="F395">
        <v>8706015.9100000001</v>
      </c>
      <c r="G395">
        <v>10794869.529999999</v>
      </c>
      <c r="H395" t="s">
        <v>26</v>
      </c>
    </row>
    <row r="396" spans="1:8" x14ac:dyDescent="0.2">
      <c r="A396" t="str">
        <f t="shared" si="6"/>
        <v>2030</v>
      </c>
      <c r="B396" s="3" t="s">
        <v>85</v>
      </c>
      <c r="C396" t="s">
        <v>8</v>
      </c>
      <c r="D396">
        <v>981.89</v>
      </c>
      <c r="E396">
        <v>2130455.66</v>
      </c>
      <c r="F396">
        <v>8311297.4000000004</v>
      </c>
      <c r="G396">
        <v>10441753.060000001</v>
      </c>
      <c r="H396" t="s">
        <v>26</v>
      </c>
    </row>
    <row r="397" spans="1:8" x14ac:dyDescent="0.2">
      <c r="A397" t="str">
        <f t="shared" si="6"/>
        <v>2030</v>
      </c>
      <c r="B397" s="3" t="s">
        <v>85</v>
      </c>
      <c r="C397" t="s">
        <v>10</v>
      </c>
      <c r="D397">
        <v>14599.18</v>
      </c>
      <c r="E397">
        <v>37533460.539999999</v>
      </c>
      <c r="F397">
        <v>146091144.84</v>
      </c>
      <c r="G397">
        <v>183624605.38</v>
      </c>
      <c r="H397" t="s">
        <v>26</v>
      </c>
    </row>
    <row r="398" spans="1:8" x14ac:dyDescent="0.2">
      <c r="A398" t="str">
        <f t="shared" si="6"/>
        <v>2030</v>
      </c>
      <c r="B398" s="3" t="s">
        <v>85</v>
      </c>
      <c r="C398" t="s">
        <v>11</v>
      </c>
      <c r="D398">
        <v>1435.23</v>
      </c>
      <c r="E398">
        <v>3136402.82</v>
      </c>
      <c r="F398">
        <v>13072041.960000001</v>
      </c>
      <c r="G398">
        <v>16208445.85</v>
      </c>
      <c r="H398" t="s">
        <v>26</v>
      </c>
    </row>
    <row r="399" spans="1:8" x14ac:dyDescent="0.2">
      <c r="A399" t="str">
        <f t="shared" si="6"/>
        <v>2030</v>
      </c>
      <c r="B399" s="3" t="s">
        <v>85</v>
      </c>
      <c r="C399" t="s">
        <v>12</v>
      </c>
      <c r="D399">
        <v>3086.23</v>
      </c>
      <c r="E399">
        <v>9119525.7100000009</v>
      </c>
      <c r="F399">
        <v>37213469.649999999</v>
      </c>
      <c r="G399">
        <v>46332995.359999999</v>
      </c>
      <c r="H399" t="s">
        <v>26</v>
      </c>
    </row>
    <row r="400" spans="1:8" x14ac:dyDescent="0.2">
      <c r="A400" t="str">
        <f t="shared" si="6"/>
        <v>2030</v>
      </c>
      <c r="B400" s="3" t="s">
        <v>85</v>
      </c>
      <c r="C400" t="s">
        <v>16</v>
      </c>
      <c r="D400">
        <v>311.62</v>
      </c>
      <c r="E400">
        <v>782691.07</v>
      </c>
      <c r="F400">
        <v>3525815.76</v>
      </c>
      <c r="G400">
        <v>4308507.4800000004</v>
      </c>
      <c r="H400" t="s">
        <v>26</v>
      </c>
    </row>
    <row r="401" spans="1:8" x14ac:dyDescent="0.2">
      <c r="A401" t="str">
        <f t="shared" si="6"/>
        <v>2030</v>
      </c>
      <c r="B401" s="3" t="s">
        <v>85</v>
      </c>
      <c r="C401" t="s">
        <v>38</v>
      </c>
      <c r="D401">
        <v>1004.66</v>
      </c>
      <c r="E401">
        <v>2195481.9700000002</v>
      </c>
      <c r="F401">
        <v>9150429.3699999992</v>
      </c>
      <c r="G401">
        <v>11345912.1</v>
      </c>
      <c r="H401" t="s">
        <v>26</v>
      </c>
    </row>
    <row r="402" spans="1:8" x14ac:dyDescent="0.2">
      <c r="A402" t="str">
        <f t="shared" si="6"/>
        <v>2031</v>
      </c>
      <c r="B402" s="3" t="s">
        <v>86</v>
      </c>
      <c r="C402" t="s">
        <v>8</v>
      </c>
      <c r="D402">
        <v>764.57</v>
      </c>
      <c r="E402">
        <v>1658941.12</v>
      </c>
      <c r="F402">
        <v>6471832.8899999997</v>
      </c>
      <c r="G402">
        <v>8130774.0099999998</v>
      </c>
      <c r="H402" t="s">
        <v>26</v>
      </c>
    </row>
    <row r="403" spans="1:8" x14ac:dyDescent="0.2">
      <c r="A403" t="str">
        <f t="shared" si="6"/>
        <v>2031</v>
      </c>
      <c r="B403" s="3" t="s">
        <v>86</v>
      </c>
      <c r="C403" t="s">
        <v>10</v>
      </c>
      <c r="D403">
        <v>13262.75</v>
      </c>
      <c r="E403">
        <v>34097604.520000003</v>
      </c>
      <c r="F403">
        <v>132717793.90000001</v>
      </c>
      <c r="G403">
        <v>166815398.41999999</v>
      </c>
      <c r="H403" t="s">
        <v>26</v>
      </c>
    </row>
    <row r="404" spans="1:8" x14ac:dyDescent="0.2">
      <c r="A404" t="str">
        <f t="shared" si="6"/>
        <v>2031</v>
      </c>
      <c r="B404" s="3" t="s">
        <v>86</v>
      </c>
      <c r="C404" t="s">
        <v>11</v>
      </c>
      <c r="D404">
        <v>1303.8499999999999</v>
      </c>
      <c r="E404">
        <v>2849292.91</v>
      </c>
      <c r="F404">
        <v>11875412.25</v>
      </c>
      <c r="G404">
        <v>14724706.130000001</v>
      </c>
      <c r="H404" t="s">
        <v>26</v>
      </c>
    </row>
    <row r="405" spans="1:8" x14ac:dyDescent="0.2">
      <c r="A405" t="str">
        <f t="shared" si="6"/>
        <v>2031</v>
      </c>
      <c r="B405" s="3" t="s">
        <v>86</v>
      </c>
      <c r="C405" t="s">
        <v>12</v>
      </c>
      <c r="D405">
        <v>2803.71</v>
      </c>
      <c r="E405">
        <v>8284713.8700000001</v>
      </c>
      <c r="F405">
        <v>33806905.960000001</v>
      </c>
      <c r="G405">
        <v>42091619.829999998</v>
      </c>
      <c r="H405" t="s">
        <v>26</v>
      </c>
    </row>
    <row r="406" spans="1:8" x14ac:dyDescent="0.2">
      <c r="A406" t="str">
        <f t="shared" si="6"/>
        <v>2031</v>
      </c>
      <c r="B406" s="3" t="s">
        <v>86</v>
      </c>
      <c r="C406" t="s">
        <v>16</v>
      </c>
      <c r="D406">
        <v>283.10000000000002</v>
      </c>
      <c r="E406">
        <v>711042.63</v>
      </c>
      <c r="F406">
        <v>3203058.54</v>
      </c>
      <c r="G406">
        <v>3914101.76</v>
      </c>
      <c r="H406" t="s">
        <v>26</v>
      </c>
    </row>
    <row r="407" spans="1:8" x14ac:dyDescent="0.2">
      <c r="A407" t="str">
        <f t="shared" si="6"/>
        <v>2031</v>
      </c>
      <c r="B407" s="3" t="s">
        <v>86</v>
      </c>
      <c r="C407" t="s">
        <v>38</v>
      </c>
      <c r="D407">
        <v>1564.62</v>
      </c>
      <c r="E407">
        <v>3419151.49</v>
      </c>
      <c r="F407">
        <v>14250494.699999999</v>
      </c>
      <c r="G407">
        <v>17669647.359999999</v>
      </c>
      <c r="H407" t="s">
        <v>26</v>
      </c>
    </row>
    <row r="408" spans="1:8" x14ac:dyDescent="0.2">
      <c r="A408" t="str">
        <f t="shared" si="6"/>
        <v>2031</v>
      </c>
      <c r="B408" s="3" t="s">
        <v>87</v>
      </c>
      <c r="C408" t="s">
        <v>8</v>
      </c>
      <c r="D408">
        <v>728.56</v>
      </c>
      <c r="E408">
        <v>1580799.7</v>
      </c>
      <c r="F408">
        <v>6166988.9299999997</v>
      </c>
      <c r="G408">
        <v>7747788.6299999999</v>
      </c>
      <c r="H408" t="s">
        <v>26</v>
      </c>
    </row>
    <row r="409" spans="1:8" x14ac:dyDescent="0.2">
      <c r="A409" t="str">
        <f t="shared" si="6"/>
        <v>2031</v>
      </c>
      <c r="B409" s="3" t="s">
        <v>87</v>
      </c>
      <c r="C409" t="s">
        <v>10</v>
      </c>
      <c r="D409">
        <v>12638.03</v>
      </c>
      <c r="E409">
        <v>32491498.629999999</v>
      </c>
      <c r="F409">
        <v>126466362.67</v>
      </c>
      <c r="G409">
        <v>158957861.31</v>
      </c>
      <c r="H409" t="s">
        <v>26</v>
      </c>
    </row>
    <row r="410" spans="1:8" x14ac:dyDescent="0.2">
      <c r="A410" t="str">
        <f t="shared" si="6"/>
        <v>2031</v>
      </c>
      <c r="B410" s="3" t="s">
        <v>87</v>
      </c>
      <c r="C410" t="s">
        <v>11</v>
      </c>
      <c r="D410">
        <v>1242.44</v>
      </c>
      <c r="E410">
        <v>2715082.13</v>
      </c>
      <c r="F410">
        <v>11316042.470000001</v>
      </c>
      <c r="G410">
        <v>14031125.529999999</v>
      </c>
      <c r="H410" t="s">
        <v>26</v>
      </c>
    </row>
    <row r="411" spans="1:8" x14ac:dyDescent="0.2">
      <c r="A411" t="str">
        <f t="shared" si="6"/>
        <v>2031</v>
      </c>
      <c r="B411" s="3" t="s">
        <v>87</v>
      </c>
      <c r="C411" t="s">
        <v>12</v>
      </c>
      <c r="D411">
        <v>2671.65</v>
      </c>
      <c r="E411">
        <v>7894477.4299999997</v>
      </c>
      <c r="F411">
        <v>32214492.91</v>
      </c>
      <c r="G411">
        <v>40108970.340000004</v>
      </c>
      <c r="H411" t="s">
        <v>26</v>
      </c>
    </row>
    <row r="412" spans="1:8" x14ac:dyDescent="0.2">
      <c r="A412" t="str">
        <f t="shared" si="6"/>
        <v>2031</v>
      </c>
      <c r="B412" s="3" t="s">
        <v>87</v>
      </c>
      <c r="C412" t="s">
        <v>16</v>
      </c>
      <c r="D412">
        <v>269.76</v>
      </c>
      <c r="E412">
        <v>677550.26</v>
      </c>
      <c r="F412">
        <v>3052184.28</v>
      </c>
      <c r="G412">
        <v>3729735.09</v>
      </c>
      <c r="H412" t="s">
        <v>26</v>
      </c>
    </row>
    <row r="413" spans="1:8" x14ac:dyDescent="0.2">
      <c r="A413" t="str">
        <f t="shared" si="6"/>
        <v>2031</v>
      </c>
      <c r="B413" s="3" t="s">
        <v>87</v>
      </c>
      <c r="C413" t="s">
        <v>38</v>
      </c>
      <c r="D413">
        <v>1490.92</v>
      </c>
      <c r="E413">
        <v>3258098.55</v>
      </c>
      <c r="F413">
        <v>13579250.960000001</v>
      </c>
      <c r="G413">
        <v>16837350.629999999</v>
      </c>
      <c r="H413" t="s">
        <v>26</v>
      </c>
    </row>
    <row r="414" spans="1:8" x14ac:dyDescent="0.2">
      <c r="A414" t="str">
        <f t="shared" si="6"/>
        <v>2031</v>
      </c>
      <c r="B414" s="3" t="s">
        <v>88</v>
      </c>
      <c r="C414" t="s">
        <v>8</v>
      </c>
      <c r="D414">
        <v>906.53</v>
      </c>
      <c r="E414">
        <v>1966957.06</v>
      </c>
      <c r="F414">
        <v>7673459.46</v>
      </c>
      <c r="G414">
        <v>9640416.5199999996</v>
      </c>
      <c r="H414" t="s">
        <v>26</v>
      </c>
    </row>
    <row r="415" spans="1:8" x14ac:dyDescent="0.2">
      <c r="A415" t="str">
        <f t="shared" si="6"/>
        <v>2031</v>
      </c>
      <c r="B415" s="3" t="s">
        <v>88</v>
      </c>
      <c r="C415" t="s">
        <v>10</v>
      </c>
      <c r="D415">
        <v>15725.25</v>
      </c>
      <c r="E415">
        <v>40428513.880000003</v>
      </c>
      <c r="F415">
        <v>157359534.44999999</v>
      </c>
      <c r="G415">
        <v>197788048.31999999</v>
      </c>
      <c r="H415" t="s">
        <v>26</v>
      </c>
    </row>
    <row r="416" spans="1:8" x14ac:dyDescent="0.2">
      <c r="A416" t="str">
        <f t="shared" si="6"/>
        <v>2031</v>
      </c>
      <c r="B416" s="3" t="s">
        <v>88</v>
      </c>
      <c r="C416" t="s">
        <v>11</v>
      </c>
      <c r="D416">
        <v>1545.94</v>
      </c>
      <c r="E416">
        <v>3378321.72</v>
      </c>
      <c r="F416">
        <v>14080322.52</v>
      </c>
      <c r="G416">
        <v>17458645.399999999</v>
      </c>
      <c r="H416" t="s">
        <v>26</v>
      </c>
    </row>
    <row r="417" spans="1:8" x14ac:dyDescent="0.2">
      <c r="A417" t="str">
        <f t="shared" si="6"/>
        <v>2031</v>
      </c>
      <c r="B417" s="3" t="s">
        <v>88</v>
      </c>
      <c r="C417" t="s">
        <v>12</v>
      </c>
      <c r="D417">
        <v>3324.28</v>
      </c>
      <c r="E417">
        <v>9822938.4199999999</v>
      </c>
      <c r="F417">
        <v>40083841.259999998</v>
      </c>
      <c r="G417">
        <v>49906779.68</v>
      </c>
      <c r="H417" t="s">
        <v>26</v>
      </c>
    </row>
    <row r="418" spans="1:8" x14ac:dyDescent="0.2">
      <c r="A418" t="str">
        <f t="shared" si="6"/>
        <v>2031</v>
      </c>
      <c r="B418" s="3" t="s">
        <v>88</v>
      </c>
      <c r="C418" t="s">
        <v>16</v>
      </c>
      <c r="D418">
        <v>335.66</v>
      </c>
      <c r="E418">
        <v>843062.07</v>
      </c>
      <c r="F418">
        <v>3797771.09</v>
      </c>
      <c r="G418">
        <v>4640833.8499999996</v>
      </c>
      <c r="H418" t="s">
        <v>26</v>
      </c>
    </row>
    <row r="419" spans="1:8" x14ac:dyDescent="0.2">
      <c r="A419" t="str">
        <f t="shared" si="6"/>
        <v>2031</v>
      </c>
      <c r="B419" s="3" t="s">
        <v>88</v>
      </c>
      <c r="C419" t="s">
        <v>38</v>
      </c>
      <c r="D419">
        <v>1855.12</v>
      </c>
      <c r="E419">
        <v>4053986.06</v>
      </c>
      <c r="F419">
        <v>16896387.030000001</v>
      </c>
      <c r="G419">
        <v>20950374.48</v>
      </c>
      <c r="H419" t="s">
        <v>26</v>
      </c>
    </row>
    <row r="420" spans="1:8" x14ac:dyDescent="0.2">
      <c r="A420" t="str">
        <f t="shared" si="6"/>
        <v>2031</v>
      </c>
      <c r="B420" s="3" t="s">
        <v>89</v>
      </c>
      <c r="C420" t="s">
        <v>8</v>
      </c>
      <c r="D420">
        <v>961.05</v>
      </c>
      <c r="E420">
        <v>2085249.74</v>
      </c>
      <c r="F420">
        <v>8134940.8600000003</v>
      </c>
      <c r="G420">
        <v>10220190.6</v>
      </c>
      <c r="H420" t="s">
        <v>26</v>
      </c>
    </row>
    <row r="421" spans="1:8" x14ac:dyDescent="0.2">
      <c r="A421" t="str">
        <f t="shared" si="6"/>
        <v>2031</v>
      </c>
      <c r="B421" s="3" t="s">
        <v>89</v>
      </c>
      <c r="C421" t="s">
        <v>10</v>
      </c>
      <c r="D421">
        <v>16670.96</v>
      </c>
      <c r="E421">
        <v>42859882.32</v>
      </c>
      <c r="F421">
        <v>166823127.56999999</v>
      </c>
      <c r="G421">
        <v>209683009.88</v>
      </c>
      <c r="H421" t="s">
        <v>26</v>
      </c>
    </row>
    <row r="422" spans="1:8" x14ac:dyDescent="0.2">
      <c r="A422" t="str">
        <f t="shared" si="6"/>
        <v>2031</v>
      </c>
      <c r="B422" s="3" t="s">
        <v>89</v>
      </c>
      <c r="C422" t="s">
        <v>11</v>
      </c>
      <c r="D422">
        <v>1638.91</v>
      </c>
      <c r="E422">
        <v>3581493.79</v>
      </c>
      <c r="F422">
        <v>14927112.289999999</v>
      </c>
      <c r="G422">
        <v>18508607.300000001</v>
      </c>
      <c r="H422" t="s">
        <v>26</v>
      </c>
    </row>
    <row r="423" spans="1:8" x14ac:dyDescent="0.2">
      <c r="A423" t="str">
        <f t="shared" si="6"/>
        <v>2031</v>
      </c>
      <c r="B423" s="3" t="s">
        <v>89</v>
      </c>
      <c r="C423" t="s">
        <v>12</v>
      </c>
      <c r="D423">
        <v>3524.2</v>
      </c>
      <c r="E423">
        <v>10413689.359999999</v>
      </c>
      <c r="F423">
        <v>42494481.109999999</v>
      </c>
      <c r="G423">
        <v>52908170.469999999</v>
      </c>
      <c r="H423" t="s">
        <v>26</v>
      </c>
    </row>
    <row r="424" spans="1:8" x14ac:dyDescent="0.2">
      <c r="A424" t="str">
        <f t="shared" si="6"/>
        <v>2031</v>
      </c>
      <c r="B424" s="3" t="s">
        <v>89</v>
      </c>
      <c r="C424" t="s">
        <v>16</v>
      </c>
      <c r="D424">
        <v>355.84</v>
      </c>
      <c r="E424">
        <v>893763.77</v>
      </c>
      <c r="F424">
        <v>4026168.82</v>
      </c>
      <c r="G424">
        <v>4919933.33</v>
      </c>
      <c r="H424" t="s">
        <v>26</v>
      </c>
    </row>
    <row r="425" spans="1:8" x14ac:dyDescent="0.2">
      <c r="A425" t="str">
        <f t="shared" si="6"/>
        <v>2031</v>
      </c>
      <c r="B425" s="3" t="s">
        <v>89</v>
      </c>
      <c r="C425" t="s">
        <v>38</v>
      </c>
      <c r="D425">
        <v>1966.69</v>
      </c>
      <c r="E425">
        <v>4297792.54</v>
      </c>
      <c r="F425">
        <v>17912534.75</v>
      </c>
      <c r="G425">
        <v>22210328.760000002</v>
      </c>
      <c r="H425" t="s">
        <v>26</v>
      </c>
    </row>
    <row r="426" spans="1:8" x14ac:dyDescent="0.2">
      <c r="A426" t="str">
        <f t="shared" si="6"/>
        <v>2031</v>
      </c>
      <c r="B426" s="3" t="s">
        <v>90</v>
      </c>
      <c r="C426" t="s">
        <v>8</v>
      </c>
      <c r="D426">
        <v>1039.79</v>
      </c>
      <c r="E426">
        <v>2256091.67</v>
      </c>
      <c r="F426">
        <v>8801426.4900000002</v>
      </c>
      <c r="G426">
        <v>11057518.17</v>
      </c>
      <c r="H426" t="s">
        <v>26</v>
      </c>
    </row>
    <row r="427" spans="1:8" x14ac:dyDescent="0.2">
      <c r="A427" t="str">
        <f t="shared" si="6"/>
        <v>2031</v>
      </c>
      <c r="B427" s="3" t="s">
        <v>90</v>
      </c>
      <c r="C427" t="s">
        <v>10</v>
      </c>
      <c r="D427">
        <v>18036.8</v>
      </c>
      <c r="E427">
        <v>46371339.43</v>
      </c>
      <c r="F427">
        <v>180490739.94</v>
      </c>
      <c r="G427">
        <v>226862079.37</v>
      </c>
      <c r="H427" t="s">
        <v>26</v>
      </c>
    </row>
    <row r="428" spans="1:8" x14ac:dyDescent="0.2">
      <c r="A428" t="str">
        <f t="shared" si="6"/>
        <v>2031</v>
      </c>
      <c r="B428" s="3" t="s">
        <v>90</v>
      </c>
      <c r="C428" t="s">
        <v>11</v>
      </c>
      <c r="D428">
        <v>1773.18</v>
      </c>
      <c r="E428">
        <v>3874921.14</v>
      </c>
      <c r="F428">
        <v>16150072.119999999</v>
      </c>
      <c r="G428">
        <v>20024994.59</v>
      </c>
      <c r="H428" t="s">
        <v>26</v>
      </c>
    </row>
    <row r="429" spans="1:8" x14ac:dyDescent="0.2">
      <c r="A429" t="str">
        <f t="shared" si="6"/>
        <v>2031</v>
      </c>
      <c r="B429" s="3" t="s">
        <v>90</v>
      </c>
      <c r="C429" t="s">
        <v>12</v>
      </c>
      <c r="D429">
        <v>3812.93</v>
      </c>
      <c r="E429">
        <v>11266870.039999999</v>
      </c>
      <c r="F429">
        <v>45976001.350000001</v>
      </c>
      <c r="G429">
        <v>57242871.390000001</v>
      </c>
      <c r="H429" t="s">
        <v>26</v>
      </c>
    </row>
    <row r="430" spans="1:8" x14ac:dyDescent="0.2">
      <c r="A430" t="str">
        <f t="shared" si="6"/>
        <v>2031</v>
      </c>
      <c r="B430" s="3" t="s">
        <v>90</v>
      </c>
      <c r="C430" t="s">
        <v>16</v>
      </c>
      <c r="D430">
        <v>385</v>
      </c>
      <c r="E430">
        <v>966988.73</v>
      </c>
      <c r="F430">
        <v>4356027.8499999996</v>
      </c>
      <c r="G430">
        <v>5323017.38</v>
      </c>
      <c r="H430" t="s">
        <v>26</v>
      </c>
    </row>
    <row r="431" spans="1:8" x14ac:dyDescent="0.2">
      <c r="A431" t="str">
        <f t="shared" si="6"/>
        <v>2031</v>
      </c>
      <c r="B431" s="3" t="s">
        <v>90</v>
      </c>
      <c r="C431" t="s">
        <v>38</v>
      </c>
      <c r="D431">
        <v>2127.8200000000002</v>
      </c>
      <c r="E431">
        <v>4649905.37</v>
      </c>
      <c r="F431">
        <v>19380086.550000001</v>
      </c>
      <c r="G431">
        <v>24029993.510000002</v>
      </c>
      <c r="H431" t="s">
        <v>26</v>
      </c>
    </row>
    <row r="432" spans="1:8" x14ac:dyDescent="0.2">
      <c r="A432" t="str">
        <f t="shared" si="6"/>
        <v>2031</v>
      </c>
      <c r="B432" s="3" t="s">
        <v>91</v>
      </c>
      <c r="C432" t="s">
        <v>8</v>
      </c>
      <c r="D432">
        <v>1063.96</v>
      </c>
      <c r="E432">
        <v>2308527.1800000002</v>
      </c>
      <c r="F432">
        <v>9005987</v>
      </c>
      <c r="G432">
        <v>11314514.18</v>
      </c>
      <c r="H432" t="s">
        <v>26</v>
      </c>
    </row>
    <row r="433" spans="1:8" x14ac:dyDescent="0.2">
      <c r="A433" t="str">
        <f t="shared" si="6"/>
        <v>2031</v>
      </c>
      <c r="B433" s="3" t="s">
        <v>91</v>
      </c>
      <c r="C433" t="s">
        <v>10</v>
      </c>
      <c r="D433">
        <v>18456</v>
      </c>
      <c r="E433">
        <v>47449090.25</v>
      </c>
      <c r="F433">
        <v>184685659.58000001</v>
      </c>
      <c r="G433">
        <v>232134749.83000001</v>
      </c>
      <c r="H433" t="s">
        <v>26</v>
      </c>
    </row>
    <row r="434" spans="1:8" x14ac:dyDescent="0.2">
      <c r="A434" t="str">
        <f t="shared" si="6"/>
        <v>2031</v>
      </c>
      <c r="B434" s="3" t="s">
        <v>91</v>
      </c>
      <c r="C434" t="s">
        <v>11</v>
      </c>
      <c r="D434">
        <v>1814.4</v>
      </c>
      <c r="E434">
        <v>3964981.07</v>
      </c>
      <c r="F434">
        <v>16525427.970000001</v>
      </c>
      <c r="G434">
        <v>20490410.399999999</v>
      </c>
      <c r="H434" t="s">
        <v>26</v>
      </c>
    </row>
    <row r="435" spans="1:8" x14ac:dyDescent="0.2">
      <c r="A435" t="str">
        <f t="shared" si="6"/>
        <v>2031</v>
      </c>
      <c r="B435" s="3" t="s">
        <v>91</v>
      </c>
      <c r="C435" t="s">
        <v>12</v>
      </c>
      <c r="D435">
        <v>3901.55</v>
      </c>
      <c r="E435">
        <v>11528731.76</v>
      </c>
      <c r="F435">
        <v>47044563.82</v>
      </c>
      <c r="G435">
        <v>58573295.579999998</v>
      </c>
      <c r="H435" t="s">
        <v>26</v>
      </c>
    </row>
    <row r="436" spans="1:8" x14ac:dyDescent="0.2">
      <c r="A436" t="str">
        <f t="shared" si="6"/>
        <v>2031</v>
      </c>
      <c r="B436" s="3" t="s">
        <v>91</v>
      </c>
      <c r="C436" t="s">
        <v>16</v>
      </c>
      <c r="D436">
        <v>393.95</v>
      </c>
      <c r="E436">
        <v>989463.24</v>
      </c>
      <c r="F436">
        <v>4457269.54</v>
      </c>
      <c r="G436">
        <v>5446733.5899999999</v>
      </c>
      <c r="H436" t="s">
        <v>26</v>
      </c>
    </row>
    <row r="437" spans="1:8" x14ac:dyDescent="0.2">
      <c r="A437" t="str">
        <f t="shared" si="6"/>
        <v>2031</v>
      </c>
      <c r="B437" s="3" t="s">
        <v>91</v>
      </c>
      <c r="C437" t="s">
        <v>38</v>
      </c>
      <c r="D437">
        <v>2177.27</v>
      </c>
      <c r="E437">
        <v>4757977.28</v>
      </c>
      <c r="F437">
        <v>19830513.57</v>
      </c>
      <c r="G437">
        <v>24588492.48</v>
      </c>
      <c r="H437" t="s">
        <v>26</v>
      </c>
    </row>
    <row r="438" spans="1:8" x14ac:dyDescent="0.2">
      <c r="A438" t="str">
        <f t="shared" si="6"/>
        <v>2031</v>
      </c>
      <c r="B438" s="3" t="s">
        <v>92</v>
      </c>
      <c r="C438" t="s">
        <v>8</v>
      </c>
      <c r="D438">
        <v>1135.4100000000001</v>
      </c>
      <c r="E438">
        <v>2463558.84</v>
      </c>
      <c r="F438">
        <v>9610793.8699999992</v>
      </c>
      <c r="G438">
        <v>12074352.710000001</v>
      </c>
      <c r="H438" t="s">
        <v>26</v>
      </c>
    </row>
    <row r="439" spans="1:8" x14ac:dyDescent="0.2">
      <c r="A439" t="str">
        <f t="shared" si="6"/>
        <v>2031</v>
      </c>
      <c r="B439" s="3" t="s">
        <v>92</v>
      </c>
      <c r="C439" t="s">
        <v>10</v>
      </c>
      <c r="D439">
        <v>19695.439999999999</v>
      </c>
      <c r="E439">
        <v>50635585.619999997</v>
      </c>
      <c r="F439">
        <v>197088426.33000001</v>
      </c>
      <c r="G439">
        <v>247724011.94999999</v>
      </c>
      <c r="H439" t="s">
        <v>26</v>
      </c>
    </row>
    <row r="440" spans="1:8" x14ac:dyDescent="0.2">
      <c r="A440" t="str">
        <f t="shared" si="6"/>
        <v>2031</v>
      </c>
      <c r="B440" s="3" t="s">
        <v>92</v>
      </c>
      <c r="C440" t="s">
        <v>11</v>
      </c>
      <c r="D440">
        <v>1936.24</v>
      </c>
      <c r="E440">
        <v>4231253.6900000004</v>
      </c>
      <c r="F440">
        <v>17635211.100000001</v>
      </c>
      <c r="G440">
        <v>21866466.239999998</v>
      </c>
      <c r="H440" t="s">
        <v>26</v>
      </c>
    </row>
    <row r="441" spans="1:8" x14ac:dyDescent="0.2">
      <c r="A441" t="str">
        <f t="shared" si="6"/>
        <v>2031</v>
      </c>
      <c r="B441" s="3" t="s">
        <v>92</v>
      </c>
      <c r="C441" t="s">
        <v>12</v>
      </c>
      <c r="D441">
        <v>4163.5600000000004</v>
      </c>
      <c r="E441">
        <v>12302956.300000001</v>
      </c>
      <c r="F441">
        <v>50203892.780000001</v>
      </c>
      <c r="G441">
        <v>62506849.079999998</v>
      </c>
      <c r="H441" t="s">
        <v>26</v>
      </c>
    </row>
    <row r="442" spans="1:8" x14ac:dyDescent="0.2">
      <c r="A442" t="str">
        <f t="shared" si="6"/>
        <v>2031</v>
      </c>
      <c r="B442" s="3" t="s">
        <v>92</v>
      </c>
      <c r="C442" t="s">
        <v>16</v>
      </c>
      <c r="D442">
        <v>420.4</v>
      </c>
      <c r="E442">
        <v>1055911.72</v>
      </c>
      <c r="F442">
        <v>4756602.33</v>
      </c>
      <c r="G442">
        <v>5812514.9199999999</v>
      </c>
      <c r="H442" t="s">
        <v>26</v>
      </c>
    </row>
    <row r="443" spans="1:8" x14ac:dyDescent="0.2">
      <c r="A443" t="str">
        <f t="shared" si="6"/>
        <v>2031</v>
      </c>
      <c r="B443" s="3" t="s">
        <v>92</v>
      </c>
      <c r="C443" t="s">
        <v>38</v>
      </c>
      <c r="D443">
        <v>2323.4899999999998</v>
      </c>
      <c r="E443">
        <v>5077504.43</v>
      </c>
      <c r="F443">
        <v>21162253.32</v>
      </c>
      <c r="G443">
        <v>26239759.489999998</v>
      </c>
      <c r="H443" t="s">
        <v>26</v>
      </c>
    </row>
    <row r="444" spans="1:8" x14ac:dyDescent="0.2">
      <c r="A444" t="str">
        <f t="shared" si="6"/>
        <v>2031</v>
      </c>
      <c r="B444" s="3" t="s">
        <v>93</v>
      </c>
      <c r="C444" t="s">
        <v>8</v>
      </c>
      <c r="D444">
        <v>1147.93</v>
      </c>
      <c r="E444">
        <v>2490743.4</v>
      </c>
      <c r="F444">
        <v>9716845.8499999996</v>
      </c>
      <c r="G444">
        <v>12207589.25</v>
      </c>
      <c r="H444" t="s">
        <v>26</v>
      </c>
    </row>
    <row r="445" spans="1:8" x14ac:dyDescent="0.2">
      <c r="A445" t="str">
        <f t="shared" si="6"/>
        <v>2031</v>
      </c>
      <c r="B445" s="3" t="s">
        <v>93</v>
      </c>
      <c r="C445" t="s">
        <v>10</v>
      </c>
      <c r="D445">
        <v>19912.77</v>
      </c>
      <c r="E445">
        <v>51194332.789999999</v>
      </c>
      <c r="F445">
        <v>199263232.83000001</v>
      </c>
      <c r="G445">
        <v>250457565.62</v>
      </c>
      <c r="H445" t="s">
        <v>26</v>
      </c>
    </row>
    <row r="446" spans="1:8" x14ac:dyDescent="0.2">
      <c r="A446" t="str">
        <f t="shared" si="6"/>
        <v>2031</v>
      </c>
      <c r="B446" s="3" t="s">
        <v>93</v>
      </c>
      <c r="C446" t="s">
        <v>11</v>
      </c>
      <c r="D446">
        <v>1957.61</v>
      </c>
      <c r="E446">
        <v>4277944.1900000004</v>
      </c>
      <c r="F446">
        <v>17829809.899999999</v>
      </c>
      <c r="G446">
        <v>22107755.559999999</v>
      </c>
      <c r="H446" t="s">
        <v>26</v>
      </c>
    </row>
    <row r="447" spans="1:8" x14ac:dyDescent="0.2">
      <c r="A447" t="str">
        <f t="shared" si="6"/>
        <v>2031</v>
      </c>
      <c r="B447" s="3" t="s">
        <v>93</v>
      </c>
      <c r="C447" t="s">
        <v>12</v>
      </c>
      <c r="D447">
        <v>4209.51</v>
      </c>
      <c r="E447">
        <v>12438715.41</v>
      </c>
      <c r="F447">
        <v>50757876.359999999</v>
      </c>
      <c r="G447">
        <v>63196591.770000003</v>
      </c>
      <c r="H447" t="s">
        <v>26</v>
      </c>
    </row>
    <row r="448" spans="1:8" x14ac:dyDescent="0.2">
      <c r="A448" t="str">
        <f t="shared" si="6"/>
        <v>2031</v>
      </c>
      <c r="B448" s="3" t="s">
        <v>93</v>
      </c>
      <c r="C448" t="s">
        <v>16</v>
      </c>
      <c r="D448">
        <v>425.04</v>
      </c>
      <c r="E448">
        <v>1067563.3600000001</v>
      </c>
      <c r="F448">
        <v>4809089.8899999997</v>
      </c>
      <c r="G448">
        <v>5876654.1200000001</v>
      </c>
      <c r="H448" t="s">
        <v>26</v>
      </c>
    </row>
    <row r="449" spans="1:8" x14ac:dyDescent="0.2">
      <c r="A449" t="str">
        <f t="shared" si="6"/>
        <v>2031</v>
      </c>
      <c r="B449" s="3" t="s">
        <v>93</v>
      </c>
      <c r="C449" t="s">
        <v>38</v>
      </c>
      <c r="D449">
        <v>2349.13</v>
      </c>
      <c r="E449">
        <v>5133533.03</v>
      </c>
      <c r="F449">
        <v>21395771.879999999</v>
      </c>
      <c r="G449">
        <v>26529306.68</v>
      </c>
      <c r="H449" t="s">
        <v>26</v>
      </c>
    </row>
    <row r="450" spans="1:8" x14ac:dyDescent="0.2">
      <c r="A450" t="str">
        <f t="shared" si="6"/>
        <v>2031</v>
      </c>
      <c r="B450" s="3" t="s">
        <v>94</v>
      </c>
      <c r="C450" t="s">
        <v>8</v>
      </c>
      <c r="D450">
        <v>1055.4100000000001</v>
      </c>
      <c r="E450">
        <v>2289987.0699999998</v>
      </c>
      <c r="F450">
        <v>8933658.6600000001</v>
      </c>
      <c r="G450">
        <v>11223645.74</v>
      </c>
      <c r="H450" t="s">
        <v>26</v>
      </c>
    </row>
    <row r="451" spans="1:8" x14ac:dyDescent="0.2">
      <c r="A451" t="str">
        <f t="shared" ref="A451:A514" si="7">LEFT(B451,4)</f>
        <v>2031</v>
      </c>
      <c r="B451" s="3" t="s">
        <v>94</v>
      </c>
      <c r="C451" t="s">
        <v>10</v>
      </c>
      <c r="D451">
        <v>18307.78</v>
      </c>
      <c r="E451">
        <v>47068020</v>
      </c>
      <c r="F451">
        <v>183202423.34999999</v>
      </c>
      <c r="G451">
        <v>230270443.34999999</v>
      </c>
      <c r="H451" t="s">
        <v>26</v>
      </c>
    </row>
    <row r="452" spans="1:8" x14ac:dyDescent="0.2">
      <c r="A452" t="str">
        <f t="shared" si="7"/>
        <v>2031</v>
      </c>
      <c r="B452" s="3" t="s">
        <v>94</v>
      </c>
      <c r="C452" t="s">
        <v>11</v>
      </c>
      <c r="D452">
        <v>1799.82</v>
      </c>
      <c r="E452">
        <v>3933137.75</v>
      </c>
      <c r="F452">
        <v>16392709.960000001</v>
      </c>
      <c r="G452">
        <v>20325849.059999999</v>
      </c>
      <c r="H452" t="s">
        <v>26</v>
      </c>
    </row>
    <row r="453" spans="1:8" x14ac:dyDescent="0.2">
      <c r="A453" t="str">
        <f t="shared" si="7"/>
        <v>2031</v>
      </c>
      <c r="B453" s="3" t="s">
        <v>94</v>
      </c>
      <c r="C453" t="s">
        <v>12</v>
      </c>
      <c r="D453">
        <v>3870.22</v>
      </c>
      <c r="E453">
        <v>11436142.91</v>
      </c>
      <c r="F453">
        <v>46666742.390000001</v>
      </c>
      <c r="G453">
        <v>58102885.289999999</v>
      </c>
      <c r="H453" t="s">
        <v>26</v>
      </c>
    </row>
    <row r="454" spans="1:8" x14ac:dyDescent="0.2">
      <c r="A454" t="str">
        <f t="shared" si="7"/>
        <v>2031</v>
      </c>
      <c r="B454" s="3" t="s">
        <v>94</v>
      </c>
      <c r="C454" t="s">
        <v>16</v>
      </c>
      <c r="D454">
        <v>390.78</v>
      </c>
      <c r="E454">
        <v>981516.72</v>
      </c>
      <c r="F454">
        <v>4421472.59</v>
      </c>
      <c r="G454">
        <v>5402990.1100000003</v>
      </c>
      <c r="H454" t="s">
        <v>26</v>
      </c>
    </row>
    <row r="455" spans="1:8" x14ac:dyDescent="0.2">
      <c r="A455" t="str">
        <f t="shared" si="7"/>
        <v>2031</v>
      </c>
      <c r="B455" s="3" t="s">
        <v>94</v>
      </c>
      <c r="C455" t="s">
        <v>38</v>
      </c>
      <c r="D455">
        <v>2159.79</v>
      </c>
      <c r="E455">
        <v>4719765.3</v>
      </c>
      <c r="F455">
        <v>19671251.949999999</v>
      </c>
      <c r="G455">
        <v>24391018.870000001</v>
      </c>
      <c r="H455" t="s">
        <v>26</v>
      </c>
    </row>
    <row r="456" spans="1:8" x14ac:dyDescent="0.2">
      <c r="A456" t="str">
        <f t="shared" si="7"/>
        <v>2031</v>
      </c>
      <c r="B456" s="3" t="s">
        <v>95</v>
      </c>
      <c r="C456" t="s">
        <v>8</v>
      </c>
      <c r="D456">
        <v>1023.64</v>
      </c>
      <c r="E456">
        <v>2221058.84</v>
      </c>
      <c r="F456">
        <v>8664757</v>
      </c>
      <c r="G456">
        <v>10885815.84</v>
      </c>
      <c r="H456" t="s">
        <v>26</v>
      </c>
    </row>
    <row r="457" spans="1:8" x14ac:dyDescent="0.2">
      <c r="A457" t="str">
        <f t="shared" si="7"/>
        <v>2031</v>
      </c>
      <c r="B457" s="3" t="s">
        <v>95</v>
      </c>
      <c r="C457" t="s">
        <v>10</v>
      </c>
      <c r="D457">
        <v>17756.72</v>
      </c>
      <c r="E457">
        <v>45651280.310000002</v>
      </c>
      <c r="F457">
        <v>177688060.44</v>
      </c>
      <c r="G457">
        <v>223339340.75</v>
      </c>
      <c r="H457" t="s">
        <v>26</v>
      </c>
    </row>
    <row r="458" spans="1:8" x14ac:dyDescent="0.2">
      <c r="A458" t="str">
        <f t="shared" si="7"/>
        <v>2031</v>
      </c>
      <c r="B458" s="3" t="s">
        <v>95</v>
      </c>
      <c r="C458" t="s">
        <v>11</v>
      </c>
      <c r="D458">
        <v>1745.65</v>
      </c>
      <c r="E458">
        <v>3814750.95</v>
      </c>
      <c r="F458">
        <v>15899292.08</v>
      </c>
      <c r="G458">
        <v>19714044.34</v>
      </c>
      <c r="H458" t="s">
        <v>26</v>
      </c>
    </row>
    <row r="459" spans="1:8" x14ac:dyDescent="0.2">
      <c r="A459" t="str">
        <f t="shared" si="7"/>
        <v>2031</v>
      </c>
      <c r="B459" s="3" t="s">
        <v>95</v>
      </c>
      <c r="C459" t="s">
        <v>12</v>
      </c>
      <c r="D459">
        <v>3753.72</v>
      </c>
      <c r="E459">
        <v>11091916.880000001</v>
      </c>
      <c r="F459">
        <v>45262081.090000004</v>
      </c>
      <c r="G459">
        <v>56353997.969999999</v>
      </c>
      <c r="H459" t="s">
        <v>26</v>
      </c>
    </row>
    <row r="460" spans="1:8" x14ac:dyDescent="0.2">
      <c r="A460" t="str">
        <f t="shared" si="7"/>
        <v>2031</v>
      </c>
      <c r="B460" s="3" t="s">
        <v>95</v>
      </c>
      <c r="C460" t="s">
        <v>16</v>
      </c>
      <c r="D460">
        <v>379.02</v>
      </c>
      <c r="E460">
        <v>951973.23</v>
      </c>
      <c r="F460">
        <v>4288386.99</v>
      </c>
      <c r="G460">
        <v>5240360.99</v>
      </c>
      <c r="H460" t="s">
        <v>26</v>
      </c>
    </row>
    <row r="461" spans="1:8" x14ac:dyDescent="0.2">
      <c r="A461" t="str">
        <f t="shared" si="7"/>
        <v>2031</v>
      </c>
      <c r="B461" s="3" t="s">
        <v>95</v>
      </c>
      <c r="C461" t="s">
        <v>38</v>
      </c>
      <c r="D461">
        <v>2094.7800000000002</v>
      </c>
      <c r="E461">
        <v>4577701.1399999997</v>
      </c>
      <c r="F461">
        <v>19079150.489999998</v>
      </c>
      <c r="G461">
        <v>23656853.199999999</v>
      </c>
      <c r="H461" t="s">
        <v>26</v>
      </c>
    </row>
    <row r="462" spans="1:8" x14ac:dyDescent="0.2">
      <c r="A462" t="str">
        <f t="shared" si="7"/>
        <v>2031</v>
      </c>
      <c r="B462" s="3" t="s">
        <v>96</v>
      </c>
      <c r="C462" t="s">
        <v>8</v>
      </c>
      <c r="D462">
        <v>833.88</v>
      </c>
      <c r="E462">
        <v>1809309.31</v>
      </c>
      <c r="F462">
        <v>7058446.75</v>
      </c>
      <c r="G462">
        <v>8867756.0600000005</v>
      </c>
      <c r="H462" t="s">
        <v>26</v>
      </c>
    </row>
    <row r="463" spans="1:8" x14ac:dyDescent="0.2">
      <c r="A463" t="str">
        <f t="shared" si="7"/>
        <v>2031</v>
      </c>
      <c r="B463" s="3" t="s">
        <v>96</v>
      </c>
      <c r="C463" t="s">
        <v>10</v>
      </c>
      <c r="D463">
        <v>14464.9</v>
      </c>
      <c r="E463">
        <v>37188247.859999999</v>
      </c>
      <c r="F463">
        <v>144747476.69</v>
      </c>
      <c r="G463">
        <v>181935724.55000001</v>
      </c>
      <c r="H463" t="s">
        <v>26</v>
      </c>
    </row>
    <row r="464" spans="1:8" x14ac:dyDescent="0.2">
      <c r="A464" t="str">
        <f t="shared" si="7"/>
        <v>2031</v>
      </c>
      <c r="B464" s="3" t="s">
        <v>96</v>
      </c>
      <c r="C464" t="s">
        <v>11</v>
      </c>
      <c r="D464">
        <v>1422.03</v>
      </c>
      <c r="E464">
        <v>3107555.86</v>
      </c>
      <c r="F464">
        <v>12951812.32</v>
      </c>
      <c r="G464">
        <v>16059369.25</v>
      </c>
      <c r="H464" t="s">
        <v>26</v>
      </c>
    </row>
    <row r="465" spans="1:8" x14ac:dyDescent="0.2">
      <c r="A465" t="str">
        <f t="shared" si="7"/>
        <v>2031</v>
      </c>
      <c r="B465" s="3" t="s">
        <v>96</v>
      </c>
      <c r="C465" t="s">
        <v>12</v>
      </c>
      <c r="D465">
        <v>3057.84</v>
      </c>
      <c r="E465">
        <v>9035649.1899999995</v>
      </c>
      <c r="F465">
        <v>36871200.079999998</v>
      </c>
      <c r="G465">
        <v>45906849.270000003</v>
      </c>
      <c r="H465" t="s">
        <v>26</v>
      </c>
    </row>
    <row r="466" spans="1:8" x14ac:dyDescent="0.2">
      <c r="A466" t="str">
        <f t="shared" si="7"/>
        <v>2031</v>
      </c>
      <c r="B466" s="3" t="s">
        <v>96</v>
      </c>
      <c r="C466" t="s">
        <v>16</v>
      </c>
      <c r="D466">
        <v>308.76</v>
      </c>
      <c r="E466">
        <v>775492.3</v>
      </c>
      <c r="F466">
        <v>3493387.2</v>
      </c>
      <c r="G466">
        <v>4268880.13</v>
      </c>
      <c r="H466" t="s">
        <v>26</v>
      </c>
    </row>
    <row r="467" spans="1:8" x14ac:dyDescent="0.2">
      <c r="A467" t="str">
        <f t="shared" si="7"/>
        <v>2031</v>
      </c>
      <c r="B467" s="3" t="s">
        <v>96</v>
      </c>
      <c r="C467" t="s">
        <v>38</v>
      </c>
      <c r="D467">
        <v>1706.44</v>
      </c>
      <c r="E467">
        <v>3729067.04</v>
      </c>
      <c r="F467">
        <v>15542174.779999999</v>
      </c>
      <c r="G467">
        <v>19271243.09</v>
      </c>
      <c r="H467" t="s">
        <v>26</v>
      </c>
    </row>
    <row r="468" spans="1:8" x14ac:dyDescent="0.2">
      <c r="A468" t="str">
        <f t="shared" si="7"/>
        <v>2031</v>
      </c>
      <c r="B468" s="3" t="s">
        <v>97</v>
      </c>
      <c r="C468" t="s">
        <v>8</v>
      </c>
      <c r="D468">
        <v>876.44</v>
      </c>
      <c r="E468">
        <v>1901668.6</v>
      </c>
      <c r="F468">
        <v>7418757.2300000004</v>
      </c>
      <c r="G468">
        <v>9320425.8200000003</v>
      </c>
      <c r="H468" t="s">
        <v>26</v>
      </c>
    </row>
    <row r="469" spans="1:8" x14ac:dyDescent="0.2">
      <c r="A469" t="str">
        <f t="shared" si="7"/>
        <v>2031</v>
      </c>
      <c r="B469" s="3" t="s">
        <v>97</v>
      </c>
      <c r="C469" t="s">
        <v>10</v>
      </c>
      <c r="D469">
        <v>15203.29</v>
      </c>
      <c r="E469">
        <v>39086585.530000001</v>
      </c>
      <c r="F469">
        <v>152136359.00999999</v>
      </c>
      <c r="G469">
        <v>191222944.53999999</v>
      </c>
      <c r="H469" t="s">
        <v>26</v>
      </c>
    </row>
    <row r="470" spans="1:8" x14ac:dyDescent="0.2">
      <c r="A470" t="str">
        <f t="shared" si="7"/>
        <v>2031</v>
      </c>
      <c r="B470" s="3" t="s">
        <v>97</v>
      </c>
      <c r="C470" t="s">
        <v>11</v>
      </c>
      <c r="D470">
        <v>1494.62</v>
      </c>
      <c r="E470">
        <v>3266186.36</v>
      </c>
      <c r="F470">
        <v>13612959.710000001</v>
      </c>
      <c r="G470">
        <v>16879147.190000001</v>
      </c>
      <c r="H470" t="s">
        <v>26</v>
      </c>
    </row>
    <row r="471" spans="1:8" x14ac:dyDescent="0.2">
      <c r="A471" t="str">
        <f t="shared" si="7"/>
        <v>2031</v>
      </c>
      <c r="B471" s="3" t="s">
        <v>97</v>
      </c>
      <c r="C471" t="s">
        <v>12</v>
      </c>
      <c r="D471">
        <v>3213.94</v>
      </c>
      <c r="E471">
        <v>9496889.3499999996</v>
      </c>
      <c r="F471">
        <v>38753353.5</v>
      </c>
      <c r="G471">
        <v>48250242.850000001</v>
      </c>
      <c r="H471" t="s">
        <v>26</v>
      </c>
    </row>
    <row r="472" spans="1:8" x14ac:dyDescent="0.2">
      <c r="A472" t="str">
        <f t="shared" si="7"/>
        <v>2031</v>
      </c>
      <c r="B472" s="3" t="s">
        <v>97</v>
      </c>
      <c r="C472" t="s">
        <v>16</v>
      </c>
      <c r="D472">
        <v>324.52</v>
      </c>
      <c r="E472">
        <v>815078.63</v>
      </c>
      <c r="F472">
        <v>3671713.12</v>
      </c>
      <c r="G472">
        <v>4486792.41</v>
      </c>
      <c r="H472" t="s">
        <v>26</v>
      </c>
    </row>
    <row r="473" spans="1:8" x14ac:dyDescent="0.2">
      <c r="A473" t="str">
        <f t="shared" si="7"/>
        <v>2031</v>
      </c>
      <c r="B473" s="3" t="s">
        <v>97</v>
      </c>
      <c r="C473" t="s">
        <v>38</v>
      </c>
      <c r="D473">
        <v>1793.55</v>
      </c>
      <c r="E473">
        <v>3919423.64</v>
      </c>
      <c r="F473">
        <v>16335551.65</v>
      </c>
      <c r="G473">
        <v>20254976.629999999</v>
      </c>
      <c r="H473" t="s">
        <v>26</v>
      </c>
    </row>
    <row r="474" spans="1:8" x14ac:dyDescent="0.2">
      <c r="A474" t="str">
        <f t="shared" si="7"/>
        <v>2032</v>
      </c>
      <c r="B474" s="3" t="s">
        <v>98</v>
      </c>
      <c r="C474" t="s">
        <v>8</v>
      </c>
      <c r="D474">
        <v>663.51</v>
      </c>
      <c r="E474">
        <v>1439656.4</v>
      </c>
      <c r="F474">
        <v>5616363.0700000003</v>
      </c>
      <c r="G474">
        <v>7056019.46</v>
      </c>
      <c r="H474" t="s">
        <v>26</v>
      </c>
    </row>
    <row r="475" spans="1:8" x14ac:dyDescent="0.2">
      <c r="A475" t="str">
        <f t="shared" si="7"/>
        <v>2032</v>
      </c>
      <c r="B475" s="3" t="s">
        <v>98</v>
      </c>
      <c r="C475" t="s">
        <v>10</v>
      </c>
      <c r="D475">
        <v>13811.56</v>
      </c>
      <c r="E475">
        <v>35508554.659999996</v>
      </c>
      <c r="F475">
        <v>138209622.22999999</v>
      </c>
      <c r="G475">
        <v>173718176.90000001</v>
      </c>
      <c r="H475" t="s">
        <v>26</v>
      </c>
    </row>
    <row r="476" spans="1:8" x14ac:dyDescent="0.2">
      <c r="A476" t="str">
        <f t="shared" si="7"/>
        <v>2032</v>
      </c>
      <c r="B476" s="3" t="s">
        <v>98</v>
      </c>
      <c r="C476" t="s">
        <v>11</v>
      </c>
      <c r="D476">
        <v>1357.8</v>
      </c>
      <c r="E476">
        <v>2967195.92</v>
      </c>
      <c r="F476">
        <v>12366813.77</v>
      </c>
      <c r="G476">
        <v>15334010.699999999</v>
      </c>
      <c r="H476" t="s">
        <v>26</v>
      </c>
    </row>
    <row r="477" spans="1:8" x14ac:dyDescent="0.2">
      <c r="A477" t="str">
        <f t="shared" si="7"/>
        <v>2032</v>
      </c>
      <c r="B477" s="3" t="s">
        <v>98</v>
      </c>
      <c r="C477" t="s">
        <v>12</v>
      </c>
      <c r="D477">
        <v>2919.73</v>
      </c>
      <c r="E477">
        <v>8627533.2100000009</v>
      </c>
      <c r="F477">
        <v>35205827.07</v>
      </c>
      <c r="G477">
        <v>43833360.280000001</v>
      </c>
      <c r="H477" t="s">
        <v>26</v>
      </c>
    </row>
    <row r="478" spans="1:8" x14ac:dyDescent="0.2">
      <c r="A478" t="str">
        <f t="shared" si="7"/>
        <v>2032</v>
      </c>
      <c r="B478" s="3" t="s">
        <v>98</v>
      </c>
      <c r="C478" t="s">
        <v>16</v>
      </c>
      <c r="D478">
        <v>294.81</v>
      </c>
      <c r="E478">
        <v>740465.4</v>
      </c>
      <c r="F478">
        <v>3335600.29</v>
      </c>
      <c r="G478">
        <v>4076066.29</v>
      </c>
      <c r="H478" t="s">
        <v>26</v>
      </c>
    </row>
    <row r="479" spans="1:8" x14ac:dyDescent="0.2">
      <c r="A479" t="str">
        <f t="shared" si="7"/>
        <v>2032</v>
      </c>
      <c r="B479" s="3" t="s">
        <v>98</v>
      </c>
      <c r="C479" t="s">
        <v>38</v>
      </c>
      <c r="D479">
        <v>2444.0500000000002</v>
      </c>
      <c r="E479">
        <v>5340952.6500000004</v>
      </c>
      <c r="F479">
        <v>22260264.780000001</v>
      </c>
      <c r="G479">
        <v>27601219.260000002</v>
      </c>
      <c r="H479" t="s">
        <v>26</v>
      </c>
    </row>
    <row r="480" spans="1:8" x14ac:dyDescent="0.2">
      <c r="A480" t="str">
        <f t="shared" si="7"/>
        <v>2032</v>
      </c>
      <c r="B480" s="3" t="s">
        <v>99</v>
      </c>
      <c r="C480" t="s">
        <v>8</v>
      </c>
      <c r="D480">
        <v>632.26</v>
      </c>
      <c r="E480">
        <v>1371843.99</v>
      </c>
      <c r="F480">
        <v>5351814.46</v>
      </c>
      <c r="G480">
        <v>6723658.4500000002</v>
      </c>
      <c r="H480" t="s">
        <v>26</v>
      </c>
    </row>
    <row r="481" spans="1:8" x14ac:dyDescent="0.2">
      <c r="A481" t="str">
        <f t="shared" si="7"/>
        <v>2032</v>
      </c>
      <c r="B481" s="3" t="s">
        <v>99</v>
      </c>
      <c r="C481" t="s">
        <v>10</v>
      </c>
      <c r="D481">
        <v>13160.99</v>
      </c>
      <c r="E481">
        <v>33835988.530000001</v>
      </c>
      <c r="F481">
        <v>131699508.39</v>
      </c>
      <c r="G481">
        <v>165535496.91</v>
      </c>
      <c r="H481" t="s">
        <v>26</v>
      </c>
    </row>
    <row r="482" spans="1:8" x14ac:dyDescent="0.2">
      <c r="A482" t="str">
        <f t="shared" si="7"/>
        <v>2032</v>
      </c>
      <c r="B482" s="3" t="s">
        <v>99</v>
      </c>
      <c r="C482" t="s">
        <v>11</v>
      </c>
      <c r="D482">
        <v>1293.8499999999999</v>
      </c>
      <c r="E482">
        <v>2827431.53</v>
      </c>
      <c r="F482">
        <v>11784297.41</v>
      </c>
      <c r="G482">
        <v>14611729.91</v>
      </c>
      <c r="H482" t="s">
        <v>26</v>
      </c>
    </row>
    <row r="483" spans="1:8" x14ac:dyDescent="0.2">
      <c r="A483" t="str">
        <f t="shared" si="7"/>
        <v>2032</v>
      </c>
      <c r="B483" s="3" t="s">
        <v>99</v>
      </c>
      <c r="C483" t="s">
        <v>12</v>
      </c>
      <c r="D483">
        <v>2782.2</v>
      </c>
      <c r="E483">
        <v>8221148.8899999997</v>
      </c>
      <c r="F483">
        <v>33547520.379999999</v>
      </c>
      <c r="G483">
        <v>41768669.259999998</v>
      </c>
      <c r="H483" t="s">
        <v>26</v>
      </c>
    </row>
    <row r="484" spans="1:8" x14ac:dyDescent="0.2">
      <c r="A484" t="str">
        <f t="shared" si="7"/>
        <v>2032</v>
      </c>
      <c r="B484" s="3" t="s">
        <v>99</v>
      </c>
      <c r="C484" t="s">
        <v>16</v>
      </c>
      <c r="D484">
        <v>280.92</v>
      </c>
      <c r="E484">
        <v>705587.11</v>
      </c>
      <c r="F484">
        <v>3178482.88</v>
      </c>
      <c r="G484">
        <v>3884070.57</v>
      </c>
      <c r="H484" t="s">
        <v>26</v>
      </c>
    </row>
    <row r="485" spans="1:8" x14ac:dyDescent="0.2">
      <c r="A485" t="str">
        <f t="shared" si="7"/>
        <v>2032</v>
      </c>
      <c r="B485" s="3" t="s">
        <v>99</v>
      </c>
      <c r="C485" t="s">
        <v>38</v>
      </c>
      <c r="D485">
        <v>2328.9299999999998</v>
      </c>
      <c r="E485">
        <v>5089376.75</v>
      </c>
      <c r="F485">
        <v>21211735.34</v>
      </c>
      <c r="G485">
        <v>26301113.84</v>
      </c>
      <c r="H485" t="s">
        <v>26</v>
      </c>
    </row>
    <row r="486" spans="1:8" x14ac:dyDescent="0.2">
      <c r="A486" t="str">
        <f t="shared" si="7"/>
        <v>2032</v>
      </c>
      <c r="B486" s="3" t="s">
        <v>100</v>
      </c>
      <c r="C486" t="s">
        <v>8</v>
      </c>
      <c r="D486">
        <v>786.7</v>
      </c>
      <c r="E486">
        <v>1706957.7</v>
      </c>
      <c r="F486">
        <v>6659154.3700000001</v>
      </c>
      <c r="G486">
        <v>8366112.0700000003</v>
      </c>
      <c r="H486" t="s">
        <v>26</v>
      </c>
    </row>
    <row r="487" spans="1:8" x14ac:dyDescent="0.2">
      <c r="A487" t="str">
        <f t="shared" si="7"/>
        <v>2032</v>
      </c>
      <c r="B487" s="3" t="s">
        <v>100</v>
      </c>
      <c r="C487" t="s">
        <v>10</v>
      </c>
      <c r="D487">
        <v>16375.96</v>
      </c>
      <c r="E487">
        <v>42101435.43</v>
      </c>
      <c r="F487">
        <v>163871031.69999999</v>
      </c>
      <c r="G487">
        <v>205972467.13</v>
      </c>
      <c r="H487" t="s">
        <v>26</v>
      </c>
    </row>
    <row r="488" spans="1:8" x14ac:dyDescent="0.2">
      <c r="A488" t="str">
        <f t="shared" si="7"/>
        <v>2032</v>
      </c>
      <c r="B488" s="3" t="s">
        <v>100</v>
      </c>
      <c r="C488" t="s">
        <v>11</v>
      </c>
      <c r="D488">
        <v>1609.91</v>
      </c>
      <c r="E488">
        <v>3518115.8</v>
      </c>
      <c r="F488">
        <v>14662962.66</v>
      </c>
      <c r="G488">
        <v>18181079.68</v>
      </c>
      <c r="H488" t="s">
        <v>26</v>
      </c>
    </row>
    <row r="489" spans="1:8" x14ac:dyDescent="0.2">
      <c r="A489" t="str">
        <f t="shared" si="7"/>
        <v>2032</v>
      </c>
      <c r="B489" s="3" t="s">
        <v>100</v>
      </c>
      <c r="C489" t="s">
        <v>12</v>
      </c>
      <c r="D489">
        <v>3461.83</v>
      </c>
      <c r="E489">
        <v>10229409.1</v>
      </c>
      <c r="F489">
        <v>41742500.350000001</v>
      </c>
      <c r="G489">
        <v>51971909.450000003</v>
      </c>
      <c r="H489" t="s">
        <v>26</v>
      </c>
    </row>
    <row r="490" spans="1:8" x14ac:dyDescent="0.2">
      <c r="A490" t="str">
        <f t="shared" si="7"/>
        <v>2032</v>
      </c>
      <c r="B490" s="3" t="s">
        <v>100</v>
      </c>
      <c r="C490" t="s">
        <v>16</v>
      </c>
      <c r="D490">
        <v>349.55</v>
      </c>
      <c r="E490">
        <v>877947.76</v>
      </c>
      <c r="F490">
        <v>3954921.89</v>
      </c>
      <c r="G490">
        <v>4832870.37</v>
      </c>
      <c r="H490" t="s">
        <v>26</v>
      </c>
    </row>
    <row r="491" spans="1:8" x14ac:dyDescent="0.2">
      <c r="A491" t="str">
        <f t="shared" si="7"/>
        <v>2032</v>
      </c>
      <c r="B491" s="3" t="s">
        <v>100</v>
      </c>
      <c r="C491" t="s">
        <v>38</v>
      </c>
      <c r="D491">
        <v>2897.83</v>
      </c>
      <c r="E491">
        <v>6332608.4500000002</v>
      </c>
      <c r="F491">
        <v>26393332.800000001</v>
      </c>
      <c r="G491">
        <v>32725943.420000002</v>
      </c>
      <c r="H491" t="s">
        <v>26</v>
      </c>
    </row>
    <row r="492" spans="1:8" x14ac:dyDescent="0.2">
      <c r="A492" t="str">
        <f t="shared" si="7"/>
        <v>2032</v>
      </c>
      <c r="B492" s="3" t="s">
        <v>101</v>
      </c>
      <c r="C492" t="s">
        <v>8</v>
      </c>
      <c r="D492">
        <v>834.02</v>
      </c>
      <c r="E492">
        <v>1809614.03</v>
      </c>
      <c r="F492">
        <v>7059635.5199999996</v>
      </c>
      <c r="G492">
        <v>8869249.5600000005</v>
      </c>
      <c r="H492" t="s">
        <v>26</v>
      </c>
    </row>
    <row r="493" spans="1:8" x14ac:dyDescent="0.2">
      <c r="A493" t="str">
        <f t="shared" si="7"/>
        <v>2032</v>
      </c>
      <c r="B493" s="3" t="s">
        <v>101</v>
      </c>
      <c r="C493" t="s">
        <v>10</v>
      </c>
      <c r="D493">
        <v>17360.8</v>
      </c>
      <c r="E493">
        <v>44633413.280000001</v>
      </c>
      <c r="F493">
        <v>173726225.88</v>
      </c>
      <c r="G493">
        <v>218359639.15000001</v>
      </c>
      <c r="H493" t="s">
        <v>26</v>
      </c>
    </row>
    <row r="494" spans="1:8" x14ac:dyDescent="0.2">
      <c r="A494" t="str">
        <f t="shared" si="7"/>
        <v>2032</v>
      </c>
      <c r="B494" s="3" t="s">
        <v>101</v>
      </c>
      <c r="C494" t="s">
        <v>11</v>
      </c>
      <c r="D494">
        <v>1706.73</v>
      </c>
      <c r="E494">
        <v>3729695.08</v>
      </c>
      <c r="F494">
        <v>15544792.369999999</v>
      </c>
      <c r="G494">
        <v>19274488.739999998</v>
      </c>
      <c r="H494" t="s">
        <v>26</v>
      </c>
    </row>
    <row r="495" spans="1:8" x14ac:dyDescent="0.2">
      <c r="A495" t="str">
        <f t="shared" si="7"/>
        <v>2032</v>
      </c>
      <c r="B495" s="3" t="s">
        <v>101</v>
      </c>
      <c r="C495" t="s">
        <v>12</v>
      </c>
      <c r="D495">
        <v>3670.03</v>
      </c>
      <c r="E495">
        <v>10844605.16</v>
      </c>
      <c r="F495">
        <v>44252891.859999999</v>
      </c>
      <c r="G495">
        <v>55097497.020000003</v>
      </c>
      <c r="H495" t="s">
        <v>26</v>
      </c>
    </row>
    <row r="496" spans="1:8" x14ac:dyDescent="0.2">
      <c r="A496" t="str">
        <f t="shared" si="7"/>
        <v>2032</v>
      </c>
      <c r="B496" s="3" t="s">
        <v>101</v>
      </c>
      <c r="C496" t="s">
        <v>16</v>
      </c>
      <c r="D496">
        <v>370.57</v>
      </c>
      <c r="E496">
        <v>930747.49</v>
      </c>
      <c r="F496">
        <v>4192770.66</v>
      </c>
      <c r="G496">
        <v>5123518.91</v>
      </c>
      <c r="H496" t="s">
        <v>26</v>
      </c>
    </row>
    <row r="497" spans="1:8" x14ac:dyDescent="0.2">
      <c r="A497" t="str">
        <f t="shared" si="7"/>
        <v>2032</v>
      </c>
      <c r="B497" s="3" t="s">
        <v>101</v>
      </c>
      <c r="C497" t="s">
        <v>38</v>
      </c>
      <c r="D497">
        <v>3072.11</v>
      </c>
      <c r="E497">
        <v>6713451.1500000004</v>
      </c>
      <c r="F497">
        <v>27980626.27</v>
      </c>
      <c r="G497">
        <v>34694079.719999999</v>
      </c>
      <c r="H497" t="s">
        <v>26</v>
      </c>
    </row>
    <row r="498" spans="1:8" x14ac:dyDescent="0.2">
      <c r="A498" t="str">
        <f t="shared" si="7"/>
        <v>2032</v>
      </c>
      <c r="B498" s="3" t="s">
        <v>102</v>
      </c>
      <c r="C498" t="s">
        <v>8</v>
      </c>
      <c r="D498">
        <v>902.35</v>
      </c>
      <c r="E498">
        <v>1957873.47</v>
      </c>
      <c r="F498">
        <v>7638022.7199999997</v>
      </c>
      <c r="G498">
        <v>9595896.1999999993</v>
      </c>
      <c r="H498" t="s">
        <v>26</v>
      </c>
    </row>
    <row r="499" spans="1:8" x14ac:dyDescent="0.2">
      <c r="A499" t="str">
        <f t="shared" si="7"/>
        <v>2032</v>
      </c>
      <c r="B499" s="3" t="s">
        <v>102</v>
      </c>
      <c r="C499" t="s">
        <v>10</v>
      </c>
      <c r="D499">
        <v>18783.150000000001</v>
      </c>
      <c r="E499">
        <v>48290173.579999998</v>
      </c>
      <c r="F499">
        <v>187959400.55000001</v>
      </c>
      <c r="G499">
        <v>236249574.13</v>
      </c>
      <c r="H499" t="s">
        <v>26</v>
      </c>
    </row>
    <row r="500" spans="1:8" x14ac:dyDescent="0.2">
      <c r="A500" t="str">
        <f t="shared" si="7"/>
        <v>2032</v>
      </c>
      <c r="B500" s="3" t="s">
        <v>102</v>
      </c>
      <c r="C500" t="s">
        <v>11</v>
      </c>
      <c r="D500">
        <v>1846.56</v>
      </c>
      <c r="E500">
        <v>4035264.38</v>
      </c>
      <c r="F500">
        <v>16818357.969999999</v>
      </c>
      <c r="G500">
        <v>20853623.739999998</v>
      </c>
      <c r="H500" t="s">
        <v>26</v>
      </c>
    </row>
    <row r="501" spans="1:8" x14ac:dyDescent="0.2">
      <c r="A501" t="str">
        <f t="shared" si="7"/>
        <v>2032</v>
      </c>
      <c r="B501" s="3" t="s">
        <v>102</v>
      </c>
      <c r="C501" t="s">
        <v>12</v>
      </c>
      <c r="D501">
        <v>3970.71</v>
      </c>
      <c r="E501">
        <v>11733090.24</v>
      </c>
      <c r="F501">
        <v>47878476.520000003</v>
      </c>
      <c r="G501">
        <v>59611566.759999998</v>
      </c>
      <c r="H501" t="s">
        <v>26</v>
      </c>
    </row>
    <row r="502" spans="1:8" x14ac:dyDescent="0.2">
      <c r="A502" t="str">
        <f t="shared" si="7"/>
        <v>2032</v>
      </c>
      <c r="B502" s="3" t="s">
        <v>102</v>
      </c>
      <c r="C502" t="s">
        <v>16</v>
      </c>
      <c r="D502">
        <v>400.93</v>
      </c>
      <c r="E502">
        <v>1007002.48</v>
      </c>
      <c r="F502">
        <v>4536279.17</v>
      </c>
      <c r="G502">
        <v>5543282.4699999997</v>
      </c>
      <c r="H502" t="s">
        <v>26</v>
      </c>
    </row>
    <row r="503" spans="1:8" x14ac:dyDescent="0.2">
      <c r="A503" t="str">
        <f t="shared" si="7"/>
        <v>2032</v>
      </c>
      <c r="B503" s="3" t="s">
        <v>102</v>
      </c>
      <c r="C503" t="s">
        <v>38</v>
      </c>
      <c r="D503">
        <v>3323.8</v>
      </c>
      <c r="E503">
        <v>7263475.8899999997</v>
      </c>
      <c r="F503">
        <v>30273044.350000001</v>
      </c>
      <c r="G503">
        <v>37536522.740000002</v>
      </c>
      <c r="H503" t="s">
        <v>26</v>
      </c>
    </row>
    <row r="504" spans="1:8" x14ac:dyDescent="0.2">
      <c r="A504" t="str">
        <f t="shared" si="7"/>
        <v>2032</v>
      </c>
      <c r="B504" s="3" t="s">
        <v>103</v>
      </c>
      <c r="C504" t="s">
        <v>8</v>
      </c>
      <c r="D504">
        <v>923.32</v>
      </c>
      <c r="E504">
        <v>2003377.87</v>
      </c>
      <c r="F504">
        <v>7815543.7000000002</v>
      </c>
      <c r="G504">
        <v>9818921.5600000005</v>
      </c>
      <c r="H504" t="s">
        <v>26</v>
      </c>
    </row>
    <row r="505" spans="1:8" x14ac:dyDescent="0.2">
      <c r="A505" t="str">
        <f t="shared" si="7"/>
        <v>2032</v>
      </c>
      <c r="B505" s="3" t="s">
        <v>103</v>
      </c>
      <c r="C505" t="s">
        <v>10</v>
      </c>
      <c r="D505">
        <v>19219.71</v>
      </c>
      <c r="E505">
        <v>49412521.450000003</v>
      </c>
      <c r="F505">
        <v>192327904.88999999</v>
      </c>
      <c r="G505">
        <v>241740426.34999999</v>
      </c>
      <c r="H505" t="s">
        <v>26</v>
      </c>
    </row>
    <row r="506" spans="1:8" x14ac:dyDescent="0.2">
      <c r="A506" t="str">
        <f t="shared" si="7"/>
        <v>2032</v>
      </c>
      <c r="B506" s="3" t="s">
        <v>103</v>
      </c>
      <c r="C506" t="s">
        <v>11</v>
      </c>
      <c r="D506">
        <v>1889.48</v>
      </c>
      <c r="E506">
        <v>4129050.97</v>
      </c>
      <c r="F506">
        <v>17209245.949999999</v>
      </c>
      <c r="G506">
        <v>21338298.329999998</v>
      </c>
      <c r="H506" t="s">
        <v>26</v>
      </c>
    </row>
    <row r="507" spans="1:8" x14ac:dyDescent="0.2">
      <c r="A507" t="str">
        <f t="shared" si="7"/>
        <v>2032</v>
      </c>
      <c r="B507" s="3" t="s">
        <v>103</v>
      </c>
      <c r="C507" t="s">
        <v>12</v>
      </c>
      <c r="D507">
        <v>4063</v>
      </c>
      <c r="E507">
        <v>12005787.720000001</v>
      </c>
      <c r="F507">
        <v>48991255.829999998</v>
      </c>
      <c r="G507">
        <v>60997043.560000002</v>
      </c>
      <c r="H507" t="s">
        <v>26</v>
      </c>
    </row>
    <row r="508" spans="1:8" x14ac:dyDescent="0.2">
      <c r="A508" t="str">
        <f t="shared" si="7"/>
        <v>2032</v>
      </c>
      <c r="B508" s="3" t="s">
        <v>103</v>
      </c>
      <c r="C508" t="s">
        <v>16</v>
      </c>
      <c r="D508">
        <v>410.25</v>
      </c>
      <c r="E508">
        <v>1030406.97</v>
      </c>
      <c r="F508">
        <v>4641710.21</v>
      </c>
      <c r="G508">
        <v>5672118.0300000003</v>
      </c>
      <c r="H508" t="s">
        <v>26</v>
      </c>
    </row>
    <row r="509" spans="1:8" x14ac:dyDescent="0.2">
      <c r="A509" t="str">
        <f t="shared" si="7"/>
        <v>2032</v>
      </c>
      <c r="B509" s="3" t="s">
        <v>103</v>
      </c>
      <c r="C509" t="s">
        <v>38</v>
      </c>
      <c r="D509">
        <v>3401.06</v>
      </c>
      <c r="E509">
        <v>7432291.7400000002</v>
      </c>
      <c r="F509">
        <v>30976642.710000001</v>
      </c>
      <c r="G509">
        <v>38408937</v>
      </c>
      <c r="H509" t="s">
        <v>26</v>
      </c>
    </row>
    <row r="510" spans="1:8" x14ac:dyDescent="0.2">
      <c r="A510" t="str">
        <f t="shared" si="7"/>
        <v>2032</v>
      </c>
      <c r="B510" s="3" t="s">
        <v>104</v>
      </c>
      <c r="C510" t="s">
        <v>8</v>
      </c>
      <c r="D510">
        <v>985.32</v>
      </c>
      <c r="E510">
        <v>2137916.89</v>
      </c>
      <c r="F510">
        <v>8340405.0499999998</v>
      </c>
      <c r="G510">
        <v>10478321.939999999</v>
      </c>
      <c r="H510" t="s">
        <v>26</v>
      </c>
    </row>
    <row r="511" spans="1:8" x14ac:dyDescent="0.2">
      <c r="A511" t="str">
        <f t="shared" si="7"/>
        <v>2032</v>
      </c>
      <c r="B511" s="3" t="s">
        <v>104</v>
      </c>
      <c r="C511" t="s">
        <v>10</v>
      </c>
      <c r="D511">
        <v>20510.43</v>
      </c>
      <c r="E511">
        <v>52730873.189999998</v>
      </c>
      <c r="F511">
        <v>205243894.96000001</v>
      </c>
      <c r="G511">
        <v>257974768.13999999</v>
      </c>
      <c r="H511" t="s">
        <v>26</v>
      </c>
    </row>
    <row r="512" spans="1:8" x14ac:dyDescent="0.2">
      <c r="A512" t="str">
        <f t="shared" si="7"/>
        <v>2032</v>
      </c>
      <c r="B512" s="3" t="s">
        <v>104</v>
      </c>
      <c r="C512" t="s">
        <v>11</v>
      </c>
      <c r="D512">
        <v>2016.36</v>
      </c>
      <c r="E512">
        <v>4406341.88</v>
      </c>
      <c r="F512">
        <v>18364951.620000001</v>
      </c>
      <c r="G512">
        <v>22771295.02</v>
      </c>
      <c r="H512" t="s">
        <v>26</v>
      </c>
    </row>
    <row r="513" spans="1:8" x14ac:dyDescent="0.2">
      <c r="A513" t="str">
        <f t="shared" si="7"/>
        <v>2032</v>
      </c>
      <c r="B513" s="3" t="s">
        <v>104</v>
      </c>
      <c r="C513" t="s">
        <v>12</v>
      </c>
      <c r="D513">
        <v>4335.8500000000004</v>
      </c>
      <c r="E513">
        <v>12812049.48</v>
      </c>
      <c r="F513">
        <v>52281317.009999998</v>
      </c>
      <c r="G513">
        <v>65093366.490000002</v>
      </c>
      <c r="H513" t="s">
        <v>26</v>
      </c>
    </row>
    <row r="514" spans="1:8" x14ac:dyDescent="0.2">
      <c r="A514" t="str">
        <f t="shared" si="7"/>
        <v>2032</v>
      </c>
      <c r="B514" s="3" t="s">
        <v>104</v>
      </c>
      <c r="C514" t="s">
        <v>16</v>
      </c>
      <c r="D514">
        <v>437.8</v>
      </c>
      <c r="E514">
        <v>1099605.07</v>
      </c>
      <c r="F514">
        <v>4953429.32</v>
      </c>
      <c r="G514">
        <v>6053035.29</v>
      </c>
      <c r="H514" t="s">
        <v>26</v>
      </c>
    </row>
    <row r="515" spans="1:8" x14ac:dyDescent="0.2">
      <c r="A515" t="str">
        <f t="shared" ref="A515:A578" si="8">LEFT(B515,4)</f>
        <v>2032</v>
      </c>
      <c r="B515" s="3" t="s">
        <v>104</v>
      </c>
      <c r="C515" t="s">
        <v>38</v>
      </c>
      <c r="D515">
        <v>3629.46</v>
      </c>
      <c r="E515">
        <v>7931415.3899999997</v>
      </c>
      <c r="F515">
        <v>33056912.91</v>
      </c>
      <c r="G515">
        <v>40988331.030000001</v>
      </c>
      <c r="H515" t="s">
        <v>26</v>
      </c>
    </row>
    <row r="516" spans="1:8" x14ac:dyDescent="0.2">
      <c r="A516" t="str">
        <f t="shared" si="8"/>
        <v>2032</v>
      </c>
      <c r="B516" s="3" t="s">
        <v>105</v>
      </c>
      <c r="C516" t="s">
        <v>8</v>
      </c>
      <c r="D516">
        <v>996.2</v>
      </c>
      <c r="E516">
        <v>2161508.11</v>
      </c>
      <c r="F516">
        <v>8432438.6999999993</v>
      </c>
      <c r="G516">
        <v>10593946.810000001</v>
      </c>
      <c r="H516" t="s">
        <v>26</v>
      </c>
    </row>
    <row r="517" spans="1:8" x14ac:dyDescent="0.2">
      <c r="A517" t="str">
        <f t="shared" si="8"/>
        <v>2032</v>
      </c>
      <c r="B517" s="3" t="s">
        <v>105</v>
      </c>
      <c r="C517" t="s">
        <v>10</v>
      </c>
      <c r="D517">
        <v>20736.75</v>
      </c>
      <c r="E517">
        <v>53312741.170000002</v>
      </c>
      <c r="F517">
        <v>207508694.38999999</v>
      </c>
      <c r="G517">
        <v>260821435.56</v>
      </c>
      <c r="H517" t="s">
        <v>26</v>
      </c>
    </row>
    <row r="518" spans="1:8" x14ac:dyDescent="0.2">
      <c r="A518" t="str">
        <f t="shared" si="8"/>
        <v>2032</v>
      </c>
      <c r="B518" s="3" t="s">
        <v>105</v>
      </c>
      <c r="C518" t="s">
        <v>11</v>
      </c>
      <c r="D518">
        <v>2038.61</v>
      </c>
      <c r="E518">
        <v>4454964.43</v>
      </c>
      <c r="F518">
        <v>18567602.870000001</v>
      </c>
      <c r="G518">
        <v>23022568.829999998</v>
      </c>
      <c r="H518" t="s">
        <v>26</v>
      </c>
    </row>
    <row r="519" spans="1:8" x14ac:dyDescent="0.2">
      <c r="A519" t="str">
        <f t="shared" si="8"/>
        <v>2032</v>
      </c>
      <c r="B519" s="3" t="s">
        <v>105</v>
      </c>
      <c r="C519" t="s">
        <v>12</v>
      </c>
      <c r="D519">
        <v>4383.7</v>
      </c>
      <c r="E519">
        <v>12953426.27</v>
      </c>
      <c r="F519">
        <v>52858224.289999999</v>
      </c>
      <c r="G519">
        <v>65811650.560000002</v>
      </c>
      <c r="H519" t="s">
        <v>26</v>
      </c>
    </row>
    <row r="520" spans="1:8" x14ac:dyDescent="0.2">
      <c r="A520" t="str">
        <f t="shared" si="8"/>
        <v>2032</v>
      </c>
      <c r="B520" s="3" t="s">
        <v>105</v>
      </c>
      <c r="C520" t="s">
        <v>16</v>
      </c>
      <c r="D520">
        <v>442.63</v>
      </c>
      <c r="E520">
        <v>1111738.8600000001</v>
      </c>
      <c r="F520">
        <v>5008088.8</v>
      </c>
      <c r="G520">
        <v>6119828.5599999996</v>
      </c>
      <c r="H520" t="s">
        <v>26</v>
      </c>
    </row>
    <row r="521" spans="1:8" x14ac:dyDescent="0.2">
      <c r="A521" t="str">
        <f t="shared" si="8"/>
        <v>2032</v>
      </c>
      <c r="B521" s="3" t="s">
        <v>105</v>
      </c>
      <c r="C521" t="s">
        <v>38</v>
      </c>
      <c r="D521">
        <v>3669.51</v>
      </c>
      <c r="E521">
        <v>8018935.9699999997</v>
      </c>
      <c r="F521">
        <v>33421685.16</v>
      </c>
      <c r="G521">
        <v>41440623.890000001</v>
      </c>
      <c r="H521" t="s">
        <v>26</v>
      </c>
    </row>
    <row r="522" spans="1:8" x14ac:dyDescent="0.2">
      <c r="A522" t="str">
        <f t="shared" si="8"/>
        <v>2032</v>
      </c>
      <c r="B522" s="3" t="s">
        <v>106</v>
      </c>
      <c r="C522" t="s">
        <v>8</v>
      </c>
      <c r="D522">
        <v>915.9</v>
      </c>
      <c r="E522">
        <v>1987288.46</v>
      </c>
      <c r="F522">
        <v>7752775.9800000004</v>
      </c>
      <c r="G522">
        <v>9740064.4399999995</v>
      </c>
      <c r="H522" t="s">
        <v>26</v>
      </c>
    </row>
    <row r="523" spans="1:8" x14ac:dyDescent="0.2">
      <c r="A523" t="str">
        <f t="shared" si="8"/>
        <v>2032</v>
      </c>
      <c r="B523" s="3" t="s">
        <v>106</v>
      </c>
      <c r="C523" t="s">
        <v>10</v>
      </c>
      <c r="D523">
        <v>19065.349999999999</v>
      </c>
      <c r="E523">
        <v>49015682.619999997</v>
      </c>
      <c r="F523">
        <v>190783292.72999999</v>
      </c>
      <c r="G523">
        <v>239798975.34999999</v>
      </c>
      <c r="H523" t="s">
        <v>26</v>
      </c>
    </row>
    <row r="524" spans="1:8" x14ac:dyDescent="0.2">
      <c r="A524" t="str">
        <f t="shared" si="8"/>
        <v>2032</v>
      </c>
      <c r="B524" s="3" t="s">
        <v>106</v>
      </c>
      <c r="C524" t="s">
        <v>11</v>
      </c>
      <c r="D524">
        <v>1874.3</v>
      </c>
      <c r="E524">
        <v>4095889.98</v>
      </c>
      <c r="F524">
        <v>17071036.100000001</v>
      </c>
      <c r="G524">
        <v>21166927.489999998</v>
      </c>
      <c r="H524" t="s">
        <v>26</v>
      </c>
    </row>
    <row r="525" spans="1:8" x14ac:dyDescent="0.2">
      <c r="A525" t="str">
        <f t="shared" si="8"/>
        <v>2032</v>
      </c>
      <c r="B525" s="3" t="s">
        <v>106</v>
      </c>
      <c r="C525" t="s">
        <v>12</v>
      </c>
      <c r="D525">
        <v>4030.37</v>
      </c>
      <c r="E525">
        <v>11909367.57</v>
      </c>
      <c r="F525">
        <v>48597800.240000002</v>
      </c>
      <c r="G525">
        <v>60507167.810000002</v>
      </c>
      <c r="H525" t="s">
        <v>26</v>
      </c>
    </row>
    <row r="526" spans="1:8" x14ac:dyDescent="0.2">
      <c r="A526" t="str">
        <f t="shared" si="8"/>
        <v>2032</v>
      </c>
      <c r="B526" s="3" t="s">
        <v>106</v>
      </c>
      <c r="C526" t="s">
        <v>16</v>
      </c>
      <c r="D526">
        <v>406.95</v>
      </c>
      <c r="E526">
        <v>1022131.63</v>
      </c>
      <c r="F526">
        <v>4604431.99</v>
      </c>
      <c r="G526">
        <v>5626564.46</v>
      </c>
      <c r="H526" t="s">
        <v>26</v>
      </c>
    </row>
    <row r="527" spans="1:8" x14ac:dyDescent="0.2">
      <c r="A527" t="str">
        <f t="shared" si="8"/>
        <v>2032</v>
      </c>
      <c r="B527" s="3" t="s">
        <v>106</v>
      </c>
      <c r="C527" t="s">
        <v>38</v>
      </c>
      <c r="D527">
        <v>3373.74</v>
      </c>
      <c r="E527">
        <v>7372601.9699999997</v>
      </c>
      <c r="F527">
        <v>30727864.98</v>
      </c>
      <c r="G527">
        <v>38100469.490000002</v>
      </c>
      <c r="H527" t="s">
        <v>26</v>
      </c>
    </row>
    <row r="528" spans="1:8" x14ac:dyDescent="0.2">
      <c r="A528" t="str">
        <f t="shared" si="8"/>
        <v>2032</v>
      </c>
      <c r="B528" s="3" t="s">
        <v>107</v>
      </c>
      <c r="C528" t="s">
        <v>8</v>
      </c>
      <c r="D528">
        <v>888.33</v>
      </c>
      <c r="E528">
        <v>1927471.4</v>
      </c>
      <c r="F528">
        <v>7519418.6900000004</v>
      </c>
      <c r="G528">
        <v>9446890.0999999996</v>
      </c>
      <c r="H528" t="s">
        <v>26</v>
      </c>
    </row>
    <row r="529" spans="1:8" x14ac:dyDescent="0.2">
      <c r="A529" t="str">
        <f t="shared" si="8"/>
        <v>2032</v>
      </c>
      <c r="B529" s="3" t="s">
        <v>107</v>
      </c>
      <c r="C529" t="s">
        <v>10</v>
      </c>
      <c r="D529">
        <v>18491.490000000002</v>
      </c>
      <c r="E529">
        <v>47540318.609999999</v>
      </c>
      <c r="F529">
        <v>185040746.88999999</v>
      </c>
      <c r="G529">
        <v>232581065.5</v>
      </c>
      <c r="H529" t="s">
        <v>26</v>
      </c>
    </row>
    <row r="530" spans="1:8" x14ac:dyDescent="0.2">
      <c r="A530" t="str">
        <f t="shared" si="8"/>
        <v>2032</v>
      </c>
      <c r="B530" s="3" t="s">
        <v>107</v>
      </c>
      <c r="C530" t="s">
        <v>11</v>
      </c>
      <c r="D530">
        <v>1817.88</v>
      </c>
      <c r="E530">
        <v>3972604.37</v>
      </c>
      <c r="F530">
        <v>16557200.710000001</v>
      </c>
      <c r="G530">
        <v>20529806.440000001</v>
      </c>
      <c r="H530" t="s">
        <v>26</v>
      </c>
    </row>
    <row r="531" spans="1:8" x14ac:dyDescent="0.2">
      <c r="A531" t="str">
        <f t="shared" si="8"/>
        <v>2032</v>
      </c>
      <c r="B531" s="3" t="s">
        <v>107</v>
      </c>
      <c r="C531" t="s">
        <v>12</v>
      </c>
      <c r="D531">
        <v>3909.05</v>
      </c>
      <c r="E531">
        <v>11550897.560000001</v>
      </c>
      <c r="F531">
        <v>47135014.420000002</v>
      </c>
      <c r="G531">
        <v>58685911.979999997</v>
      </c>
      <c r="H531" t="s">
        <v>26</v>
      </c>
    </row>
    <row r="532" spans="1:8" x14ac:dyDescent="0.2">
      <c r="A532" t="str">
        <f t="shared" si="8"/>
        <v>2032</v>
      </c>
      <c r="B532" s="3" t="s">
        <v>107</v>
      </c>
      <c r="C532" t="s">
        <v>16</v>
      </c>
      <c r="D532">
        <v>394.7</v>
      </c>
      <c r="E532">
        <v>991365.63</v>
      </c>
      <c r="F532">
        <v>4465839.34</v>
      </c>
      <c r="G532">
        <v>5457205.79</v>
      </c>
      <c r="H532" t="s">
        <v>26</v>
      </c>
    </row>
    <row r="533" spans="1:8" x14ac:dyDescent="0.2">
      <c r="A533" t="str">
        <f t="shared" si="8"/>
        <v>2032</v>
      </c>
      <c r="B533" s="3" t="s">
        <v>107</v>
      </c>
      <c r="C533" t="s">
        <v>38</v>
      </c>
      <c r="D533">
        <v>3272.19</v>
      </c>
      <c r="E533">
        <v>7150687.8600000003</v>
      </c>
      <c r="F533">
        <v>29802961.280000001</v>
      </c>
      <c r="G533">
        <v>36953651.600000001</v>
      </c>
      <c r="H533" t="s">
        <v>26</v>
      </c>
    </row>
    <row r="534" spans="1:8" x14ac:dyDescent="0.2">
      <c r="A534" t="str">
        <f t="shared" si="8"/>
        <v>2032</v>
      </c>
      <c r="B534" s="3" t="s">
        <v>108</v>
      </c>
      <c r="C534" t="s">
        <v>8</v>
      </c>
      <c r="D534">
        <v>723.65</v>
      </c>
      <c r="E534">
        <v>1570148.39</v>
      </c>
      <c r="F534">
        <v>6125436.2199999997</v>
      </c>
      <c r="G534">
        <v>7695584.6100000003</v>
      </c>
      <c r="H534" t="s">
        <v>26</v>
      </c>
    </row>
    <row r="535" spans="1:8" x14ac:dyDescent="0.2">
      <c r="A535" t="str">
        <f t="shared" si="8"/>
        <v>2032</v>
      </c>
      <c r="B535" s="3" t="s">
        <v>108</v>
      </c>
      <c r="C535" t="s">
        <v>10</v>
      </c>
      <c r="D535">
        <v>15063.45</v>
      </c>
      <c r="E535">
        <v>38727088.039999999</v>
      </c>
      <c r="F535">
        <v>150737090.22</v>
      </c>
      <c r="G535">
        <v>189464178.25999999</v>
      </c>
      <c r="H535" t="s">
        <v>26</v>
      </c>
    </row>
    <row r="536" spans="1:8" x14ac:dyDescent="0.2">
      <c r="A536" t="str">
        <f t="shared" si="8"/>
        <v>2032</v>
      </c>
      <c r="B536" s="3" t="s">
        <v>108</v>
      </c>
      <c r="C536" t="s">
        <v>11</v>
      </c>
      <c r="D536">
        <v>1480.88</v>
      </c>
      <c r="E536">
        <v>3236145.73</v>
      </c>
      <c r="F536">
        <v>13487754.99</v>
      </c>
      <c r="G536">
        <v>16723901.83</v>
      </c>
      <c r="H536" t="s">
        <v>26</v>
      </c>
    </row>
    <row r="537" spans="1:8" x14ac:dyDescent="0.2">
      <c r="A537" t="str">
        <f t="shared" si="8"/>
        <v>2032</v>
      </c>
      <c r="B537" s="3" t="s">
        <v>108</v>
      </c>
      <c r="C537" t="s">
        <v>12</v>
      </c>
      <c r="D537">
        <v>3184.38</v>
      </c>
      <c r="E537">
        <v>9409542.0399999991</v>
      </c>
      <c r="F537">
        <v>38396920.899999999</v>
      </c>
      <c r="G537">
        <v>47806462.939999998</v>
      </c>
      <c r="H537" t="s">
        <v>26</v>
      </c>
    </row>
    <row r="538" spans="1:8" x14ac:dyDescent="0.2">
      <c r="A538" t="str">
        <f t="shared" si="8"/>
        <v>2032</v>
      </c>
      <c r="B538" s="3" t="s">
        <v>108</v>
      </c>
      <c r="C538" t="s">
        <v>16</v>
      </c>
      <c r="D538">
        <v>321.52999999999997</v>
      </c>
      <c r="E538">
        <v>807581.97</v>
      </c>
      <c r="F538">
        <v>3637942.67</v>
      </c>
      <c r="G538">
        <v>4445525.3</v>
      </c>
      <c r="H538" t="s">
        <v>26</v>
      </c>
    </row>
    <row r="539" spans="1:8" x14ac:dyDescent="0.2">
      <c r="A539" t="str">
        <f t="shared" si="8"/>
        <v>2032</v>
      </c>
      <c r="B539" s="3" t="s">
        <v>108</v>
      </c>
      <c r="C539" t="s">
        <v>38</v>
      </c>
      <c r="D539">
        <v>2665.58</v>
      </c>
      <c r="E539">
        <v>5825062.3099999996</v>
      </c>
      <c r="F539">
        <v>24277958.989999998</v>
      </c>
      <c r="G539">
        <v>30103023.300000001</v>
      </c>
      <c r="H539" t="s">
        <v>26</v>
      </c>
    </row>
    <row r="540" spans="1:8" x14ac:dyDescent="0.2">
      <c r="A540" t="str">
        <f t="shared" si="8"/>
        <v>2032</v>
      </c>
      <c r="B540" s="3" t="s">
        <v>109</v>
      </c>
      <c r="C540" t="s">
        <v>8</v>
      </c>
      <c r="D540">
        <v>760.59</v>
      </c>
      <c r="E540">
        <v>1650299.3</v>
      </c>
      <c r="F540">
        <v>6438119.5800000001</v>
      </c>
      <c r="G540">
        <v>8088418.8799999999</v>
      </c>
      <c r="H540" t="s">
        <v>26</v>
      </c>
    </row>
    <row r="541" spans="1:8" x14ac:dyDescent="0.2">
      <c r="A541" t="str">
        <f t="shared" si="8"/>
        <v>2032</v>
      </c>
      <c r="B541" s="3" t="s">
        <v>109</v>
      </c>
      <c r="C541" t="s">
        <v>10</v>
      </c>
      <c r="D541">
        <v>15832.39</v>
      </c>
      <c r="E541">
        <v>40703978.43</v>
      </c>
      <c r="F541">
        <v>158431722.59999999</v>
      </c>
      <c r="G541">
        <v>199135701.03</v>
      </c>
      <c r="H541" t="s">
        <v>26</v>
      </c>
    </row>
    <row r="542" spans="1:8" x14ac:dyDescent="0.2">
      <c r="A542" t="str">
        <f t="shared" si="8"/>
        <v>2032</v>
      </c>
      <c r="B542" s="3" t="s">
        <v>109</v>
      </c>
      <c r="C542" t="s">
        <v>11</v>
      </c>
      <c r="D542">
        <v>1556.47</v>
      </c>
      <c r="E542">
        <v>3401340.32</v>
      </c>
      <c r="F542">
        <v>14176260.5</v>
      </c>
      <c r="G542">
        <v>17577601.98</v>
      </c>
      <c r="H542" t="s">
        <v>26</v>
      </c>
    </row>
    <row r="543" spans="1:8" x14ac:dyDescent="0.2">
      <c r="A543" t="str">
        <f t="shared" si="8"/>
        <v>2032</v>
      </c>
      <c r="B543" s="3" t="s">
        <v>109</v>
      </c>
      <c r="C543" t="s">
        <v>12</v>
      </c>
      <c r="D543">
        <v>3346.93</v>
      </c>
      <c r="E543">
        <v>9889868.1999999993</v>
      </c>
      <c r="F543">
        <v>40356957.340000004</v>
      </c>
      <c r="G543">
        <v>50246825.539999999</v>
      </c>
      <c r="H543" t="s">
        <v>26</v>
      </c>
    </row>
    <row r="544" spans="1:8" x14ac:dyDescent="0.2">
      <c r="A544" t="str">
        <f t="shared" si="8"/>
        <v>2032</v>
      </c>
      <c r="B544" s="3" t="s">
        <v>109</v>
      </c>
      <c r="C544" t="s">
        <v>16</v>
      </c>
      <c r="D544">
        <v>337.95</v>
      </c>
      <c r="E544">
        <v>848806.37</v>
      </c>
      <c r="F544">
        <v>3823647.67</v>
      </c>
      <c r="G544">
        <v>4672454.7300000004</v>
      </c>
      <c r="H544" t="s">
        <v>26</v>
      </c>
    </row>
    <row r="545" spans="1:8" x14ac:dyDescent="0.2">
      <c r="A545" t="str">
        <f t="shared" si="8"/>
        <v>2032</v>
      </c>
      <c r="B545" s="3" t="s">
        <v>109</v>
      </c>
      <c r="C545" t="s">
        <v>38</v>
      </c>
      <c r="D545">
        <v>2801.65</v>
      </c>
      <c r="E545">
        <v>6122412.5700000003</v>
      </c>
      <c r="F545">
        <v>25517268.899999999</v>
      </c>
      <c r="G545">
        <v>31639683.57</v>
      </c>
      <c r="H545" t="s">
        <v>26</v>
      </c>
    </row>
    <row r="546" spans="1:8" x14ac:dyDescent="0.2">
      <c r="A546" t="str">
        <f t="shared" si="8"/>
        <v>2033</v>
      </c>
      <c r="B546" s="3" t="s">
        <v>110</v>
      </c>
      <c r="C546" t="s">
        <v>8</v>
      </c>
      <c r="D546">
        <v>414.58</v>
      </c>
      <c r="E546">
        <v>899537.41</v>
      </c>
      <c r="F546">
        <v>3509260.04</v>
      </c>
      <c r="G546">
        <v>4408797.4400000004</v>
      </c>
      <c r="H546" t="s">
        <v>26</v>
      </c>
    </row>
    <row r="547" spans="1:8" x14ac:dyDescent="0.2">
      <c r="A547" t="str">
        <f t="shared" si="8"/>
        <v>2033</v>
      </c>
      <c r="B547" s="3" t="s">
        <v>110</v>
      </c>
      <c r="C547" t="s">
        <v>10</v>
      </c>
      <c r="D547">
        <v>14383.08</v>
      </c>
      <c r="E547">
        <v>36977889.560000002</v>
      </c>
      <c r="F547">
        <v>143928701.02000001</v>
      </c>
      <c r="G547">
        <v>180906590.58000001</v>
      </c>
      <c r="H547" t="s">
        <v>26</v>
      </c>
    </row>
    <row r="548" spans="1:8" x14ac:dyDescent="0.2">
      <c r="A548" t="str">
        <f t="shared" si="8"/>
        <v>2033</v>
      </c>
      <c r="B548" s="3" t="s">
        <v>110</v>
      </c>
      <c r="C548" t="s">
        <v>11</v>
      </c>
      <c r="D548">
        <v>1413.99</v>
      </c>
      <c r="E548">
        <v>3089977.73</v>
      </c>
      <c r="F548">
        <v>12878549.35</v>
      </c>
      <c r="G548">
        <v>15968528.140000001</v>
      </c>
      <c r="H548" t="s">
        <v>26</v>
      </c>
    </row>
    <row r="549" spans="1:8" x14ac:dyDescent="0.2">
      <c r="A549" t="str">
        <f t="shared" si="8"/>
        <v>2033</v>
      </c>
      <c r="B549" s="3" t="s">
        <v>110</v>
      </c>
      <c r="C549" t="s">
        <v>12</v>
      </c>
      <c r="D549">
        <v>3040.55</v>
      </c>
      <c r="E549">
        <v>8984538.3200000003</v>
      </c>
      <c r="F549">
        <v>36662635.189999998</v>
      </c>
      <c r="G549">
        <v>45647173.509999998</v>
      </c>
      <c r="H549" t="s">
        <v>26</v>
      </c>
    </row>
    <row r="550" spans="1:8" x14ac:dyDescent="0.2">
      <c r="A550" t="str">
        <f t="shared" si="8"/>
        <v>2033</v>
      </c>
      <c r="B550" s="3" t="s">
        <v>110</v>
      </c>
      <c r="C550" t="s">
        <v>16</v>
      </c>
      <c r="D550">
        <v>307.01</v>
      </c>
      <c r="E550">
        <v>771105.66</v>
      </c>
      <c r="F550">
        <v>3473626.57</v>
      </c>
      <c r="G550">
        <v>4244732.87</v>
      </c>
      <c r="H550" t="s">
        <v>26</v>
      </c>
    </row>
    <row r="551" spans="1:8" x14ac:dyDescent="0.2">
      <c r="A551" t="str">
        <f t="shared" si="8"/>
        <v>2033</v>
      </c>
      <c r="B551" s="3" t="s">
        <v>110</v>
      </c>
      <c r="C551" t="s">
        <v>38</v>
      </c>
      <c r="D551">
        <v>3676.37</v>
      </c>
      <c r="E551">
        <v>8033942.0899999999</v>
      </c>
      <c r="F551">
        <v>33484228.32</v>
      </c>
      <c r="G551">
        <v>41518173.159999996</v>
      </c>
      <c r="H551" t="s">
        <v>26</v>
      </c>
    </row>
    <row r="552" spans="1:8" x14ac:dyDescent="0.2">
      <c r="A552" t="str">
        <f t="shared" si="8"/>
        <v>2033</v>
      </c>
      <c r="B552" s="3" t="s">
        <v>111</v>
      </c>
      <c r="C552" t="s">
        <v>8</v>
      </c>
      <c r="D552">
        <v>395.05</v>
      </c>
      <c r="E552">
        <v>857166.33</v>
      </c>
      <c r="F552">
        <v>3343962.7</v>
      </c>
      <c r="G552">
        <v>4201129.03</v>
      </c>
      <c r="H552" t="s">
        <v>26</v>
      </c>
    </row>
    <row r="553" spans="1:8" x14ac:dyDescent="0.2">
      <c r="A553" t="str">
        <f t="shared" si="8"/>
        <v>2033</v>
      </c>
      <c r="B553" s="3" t="s">
        <v>111</v>
      </c>
      <c r="C553" t="s">
        <v>10</v>
      </c>
      <c r="D553">
        <v>13705.59</v>
      </c>
      <c r="E553">
        <v>35236113.07</v>
      </c>
      <c r="F553">
        <v>137149200.33000001</v>
      </c>
      <c r="G553">
        <v>172385313.40000001</v>
      </c>
      <c r="H553" t="s">
        <v>26</v>
      </c>
    </row>
    <row r="554" spans="1:8" x14ac:dyDescent="0.2">
      <c r="A554" t="str">
        <f t="shared" si="8"/>
        <v>2033</v>
      </c>
      <c r="B554" s="3" t="s">
        <v>111</v>
      </c>
      <c r="C554" t="s">
        <v>11</v>
      </c>
      <c r="D554">
        <v>1347.39</v>
      </c>
      <c r="E554">
        <v>2944429.92</v>
      </c>
      <c r="F554">
        <v>12271928.619999999</v>
      </c>
      <c r="G554">
        <v>15216359.550000001</v>
      </c>
      <c r="H554" t="s">
        <v>26</v>
      </c>
    </row>
    <row r="555" spans="1:8" x14ac:dyDescent="0.2">
      <c r="A555" t="str">
        <f t="shared" si="8"/>
        <v>2033</v>
      </c>
      <c r="B555" s="3" t="s">
        <v>111</v>
      </c>
      <c r="C555" t="s">
        <v>12</v>
      </c>
      <c r="D555">
        <v>2897.33</v>
      </c>
      <c r="E555">
        <v>8561337.9199999999</v>
      </c>
      <c r="F555">
        <v>34935708.18</v>
      </c>
      <c r="G555">
        <v>43497046.100000001</v>
      </c>
      <c r="H555" t="s">
        <v>26</v>
      </c>
    </row>
    <row r="556" spans="1:8" x14ac:dyDescent="0.2">
      <c r="A556" t="str">
        <f t="shared" si="8"/>
        <v>2033</v>
      </c>
      <c r="B556" s="3" t="s">
        <v>111</v>
      </c>
      <c r="C556" t="s">
        <v>16</v>
      </c>
      <c r="D556">
        <v>292.55</v>
      </c>
      <c r="E556">
        <v>734784.13</v>
      </c>
      <c r="F556">
        <v>3310007.69</v>
      </c>
      <c r="G556">
        <v>4044792.42</v>
      </c>
      <c r="H556" t="s">
        <v>26</v>
      </c>
    </row>
    <row r="557" spans="1:8" x14ac:dyDescent="0.2">
      <c r="A557" t="str">
        <f t="shared" si="8"/>
        <v>2033</v>
      </c>
      <c r="B557" s="3" t="s">
        <v>111</v>
      </c>
      <c r="C557" t="s">
        <v>38</v>
      </c>
      <c r="D557">
        <v>3503.2</v>
      </c>
      <c r="E557">
        <v>7655517.7999999998</v>
      </c>
      <c r="F557">
        <v>31907014.41</v>
      </c>
      <c r="G557">
        <v>39562534.840000004</v>
      </c>
      <c r="H557" t="s">
        <v>26</v>
      </c>
    </row>
    <row r="558" spans="1:8" x14ac:dyDescent="0.2">
      <c r="A558" t="str">
        <f t="shared" si="8"/>
        <v>2033</v>
      </c>
      <c r="B558" s="3" t="s">
        <v>112</v>
      </c>
      <c r="C558" t="s">
        <v>8</v>
      </c>
      <c r="D558">
        <v>491.55</v>
      </c>
      <c r="E558">
        <v>1066554.7</v>
      </c>
      <c r="F558">
        <v>4160825.09</v>
      </c>
      <c r="G558">
        <v>5227379.79</v>
      </c>
      <c r="H558" t="s">
        <v>26</v>
      </c>
    </row>
    <row r="559" spans="1:8" x14ac:dyDescent="0.2">
      <c r="A559" t="str">
        <f t="shared" si="8"/>
        <v>2033</v>
      </c>
      <c r="B559" s="3" t="s">
        <v>112</v>
      </c>
      <c r="C559" t="s">
        <v>10</v>
      </c>
      <c r="D559">
        <v>17053.59</v>
      </c>
      <c r="E559">
        <v>43843582.049999997</v>
      </c>
      <c r="F559">
        <v>170651973.03999999</v>
      </c>
      <c r="G559">
        <v>214495555.09</v>
      </c>
      <c r="H559" t="s">
        <v>26</v>
      </c>
    </row>
    <row r="560" spans="1:8" x14ac:dyDescent="0.2">
      <c r="A560" t="str">
        <f t="shared" si="8"/>
        <v>2033</v>
      </c>
      <c r="B560" s="3" t="s">
        <v>112</v>
      </c>
      <c r="C560" t="s">
        <v>11</v>
      </c>
      <c r="D560">
        <v>1676.53</v>
      </c>
      <c r="E560">
        <v>3663694.54</v>
      </c>
      <c r="F560">
        <v>15269712.310000001</v>
      </c>
      <c r="G560">
        <v>18933408.100000001</v>
      </c>
      <c r="H560" t="s">
        <v>26</v>
      </c>
    </row>
    <row r="561" spans="1:8" x14ac:dyDescent="0.2">
      <c r="A561" t="str">
        <f t="shared" si="8"/>
        <v>2033</v>
      </c>
      <c r="B561" s="3" t="s">
        <v>112</v>
      </c>
      <c r="C561" t="s">
        <v>12</v>
      </c>
      <c r="D561">
        <v>3605.08</v>
      </c>
      <c r="E561">
        <v>10652699.43</v>
      </c>
      <c r="F561">
        <v>43469794.329999998</v>
      </c>
      <c r="G561">
        <v>54122493.759999998</v>
      </c>
      <c r="H561" t="s">
        <v>26</v>
      </c>
    </row>
    <row r="562" spans="1:8" x14ac:dyDescent="0.2">
      <c r="A562" t="str">
        <f t="shared" si="8"/>
        <v>2033</v>
      </c>
      <c r="B562" s="3" t="s">
        <v>112</v>
      </c>
      <c r="C562" t="s">
        <v>16</v>
      </c>
      <c r="D562">
        <v>364.01</v>
      </c>
      <c r="E562">
        <v>914277.01</v>
      </c>
      <c r="F562">
        <v>4118575.55</v>
      </c>
      <c r="G562">
        <v>5032853.3099999996</v>
      </c>
      <c r="H562" t="s">
        <v>26</v>
      </c>
    </row>
    <row r="563" spans="1:8" x14ac:dyDescent="0.2">
      <c r="A563" t="str">
        <f t="shared" si="8"/>
        <v>2033</v>
      </c>
      <c r="B563" s="3" t="s">
        <v>112</v>
      </c>
      <c r="C563" t="s">
        <v>38</v>
      </c>
      <c r="D563">
        <v>4358.97</v>
      </c>
      <c r="E563">
        <v>9525605.7899999991</v>
      </c>
      <c r="F563">
        <v>39701251.990000002</v>
      </c>
      <c r="G563">
        <v>49226861.060000002</v>
      </c>
      <c r="H563" t="s">
        <v>26</v>
      </c>
    </row>
    <row r="564" spans="1:8" x14ac:dyDescent="0.2">
      <c r="A564" t="str">
        <f t="shared" si="8"/>
        <v>2033</v>
      </c>
      <c r="B564" s="3" t="s">
        <v>113</v>
      </c>
      <c r="C564" t="s">
        <v>8</v>
      </c>
      <c r="D564">
        <v>521.12</v>
      </c>
      <c r="E564">
        <v>1130697.24</v>
      </c>
      <c r="F564">
        <v>4411056.8600000003</v>
      </c>
      <c r="G564">
        <v>5541754.0999999996</v>
      </c>
      <c r="H564" t="s">
        <v>26</v>
      </c>
    </row>
    <row r="565" spans="1:8" x14ac:dyDescent="0.2">
      <c r="A565" t="str">
        <f t="shared" si="8"/>
        <v>2033</v>
      </c>
      <c r="B565" s="3" t="s">
        <v>113</v>
      </c>
      <c r="C565" t="s">
        <v>10</v>
      </c>
      <c r="D565">
        <v>18079.189999999999</v>
      </c>
      <c r="E565">
        <v>46480332.490000002</v>
      </c>
      <c r="F565">
        <v>180914972.63</v>
      </c>
      <c r="G565">
        <v>227395305.12</v>
      </c>
      <c r="H565" t="s">
        <v>26</v>
      </c>
    </row>
    <row r="566" spans="1:8" x14ac:dyDescent="0.2">
      <c r="A566" t="str">
        <f t="shared" si="8"/>
        <v>2033</v>
      </c>
      <c r="B566" s="3" t="s">
        <v>113</v>
      </c>
      <c r="C566" t="s">
        <v>11</v>
      </c>
      <c r="D566">
        <v>1777.35</v>
      </c>
      <c r="E566">
        <v>3884028.91</v>
      </c>
      <c r="F566">
        <v>16188031.9</v>
      </c>
      <c r="G566">
        <v>20072062.140000001</v>
      </c>
      <c r="H566" t="s">
        <v>26</v>
      </c>
    </row>
    <row r="567" spans="1:8" x14ac:dyDescent="0.2">
      <c r="A567" t="str">
        <f t="shared" si="8"/>
        <v>2033</v>
      </c>
      <c r="B567" s="3" t="s">
        <v>113</v>
      </c>
      <c r="C567" t="s">
        <v>12</v>
      </c>
      <c r="D567">
        <v>3821.89</v>
      </c>
      <c r="E567">
        <v>11293352.15</v>
      </c>
      <c r="F567">
        <v>46084065.200000003</v>
      </c>
      <c r="G567">
        <v>57377417.340000004</v>
      </c>
      <c r="H567" t="s">
        <v>26</v>
      </c>
    </row>
    <row r="568" spans="1:8" x14ac:dyDescent="0.2">
      <c r="A568" t="str">
        <f t="shared" si="8"/>
        <v>2033</v>
      </c>
      <c r="B568" s="3" t="s">
        <v>113</v>
      </c>
      <c r="C568" t="s">
        <v>16</v>
      </c>
      <c r="D568">
        <v>385.9</v>
      </c>
      <c r="E568">
        <v>969261.58</v>
      </c>
      <c r="F568">
        <v>4366266.4400000004</v>
      </c>
      <c r="G568">
        <v>5335528.8099999996</v>
      </c>
      <c r="H568" t="s">
        <v>26</v>
      </c>
    </row>
    <row r="569" spans="1:8" x14ac:dyDescent="0.2">
      <c r="A569" t="str">
        <f t="shared" si="8"/>
        <v>2033</v>
      </c>
      <c r="B569" s="3" t="s">
        <v>113</v>
      </c>
      <c r="C569" t="s">
        <v>38</v>
      </c>
      <c r="D569">
        <v>4621.1099999999997</v>
      </c>
      <c r="E569">
        <v>10098475.16</v>
      </c>
      <c r="F569">
        <v>42088882.950000003</v>
      </c>
      <c r="G569">
        <v>52187361.579999998</v>
      </c>
      <c r="H569" t="s">
        <v>26</v>
      </c>
    </row>
    <row r="570" spans="1:8" x14ac:dyDescent="0.2">
      <c r="A570" t="str">
        <f t="shared" si="8"/>
        <v>2033</v>
      </c>
      <c r="B570" s="3" t="s">
        <v>114</v>
      </c>
      <c r="C570" t="s">
        <v>8</v>
      </c>
      <c r="D570">
        <v>563.80999999999995</v>
      </c>
      <c r="E570">
        <v>1223333.8700000001</v>
      </c>
      <c r="F570">
        <v>4772449.29</v>
      </c>
      <c r="G570">
        <v>5995783.1600000001</v>
      </c>
      <c r="H570" t="s">
        <v>26</v>
      </c>
    </row>
    <row r="571" spans="1:8" x14ac:dyDescent="0.2">
      <c r="A571" t="str">
        <f t="shared" si="8"/>
        <v>2033</v>
      </c>
      <c r="B571" s="3" t="s">
        <v>114</v>
      </c>
      <c r="C571" t="s">
        <v>10</v>
      </c>
      <c r="D571">
        <v>19560.400000000001</v>
      </c>
      <c r="E571">
        <v>50288408.600000001</v>
      </c>
      <c r="F571">
        <v>195737112.41999999</v>
      </c>
      <c r="G571">
        <v>246025521.03</v>
      </c>
      <c r="H571" t="s">
        <v>26</v>
      </c>
    </row>
    <row r="572" spans="1:8" x14ac:dyDescent="0.2">
      <c r="A572" t="str">
        <f t="shared" si="8"/>
        <v>2033</v>
      </c>
      <c r="B572" s="3" t="s">
        <v>114</v>
      </c>
      <c r="C572" t="s">
        <v>11</v>
      </c>
      <c r="D572">
        <v>1922.97</v>
      </c>
      <c r="E572">
        <v>4202242.59</v>
      </c>
      <c r="F572">
        <v>17514297.32</v>
      </c>
      <c r="G572">
        <v>21716541.350000001</v>
      </c>
      <c r="H572" t="s">
        <v>26</v>
      </c>
    </row>
    <row r="573" spans="1:8" x14ac:dyDescent="0.2">
      <c r="A573" t="str">
        <f t="shared" si="8"/>
        <v>2033</v>
      </c>
      <c r="B573" s="3" t="s">
        <v>114</v>
      </c>
      <c r="C573" t="s">
        <v>12</v>
      </c>
      <c r="D573">
        <v>4135.0200000000004</v>
      </c>
      <c r="E573">
        <v>12218602.51</v>
      </c>
      <c r="F573">
        <v>49859675.619999997</v>
      </c>
      <c r="G573">
        <v>62078278.130000003</v>
      </c>
      <c r="H573" t="s">
        <v>26</v>
      </c>
    </row>
    <row r="574" spans="1:8" x14ac:dyDescent="0.2">
      <c r="A574" t="str">
        <f t="shared" si="8"/>
        <v>2033</v>
      </c>
      <c r="B574" s="3" t="s">
        <v>114</v>
      </c>
      <c r="C574" t="s">
        <v>16</v>
      </c>
      <c r="D574">
        <v>417.52</v>
      </c>
      <c r="E574">
        <v>1048671.98</v>
      </c>
      <c r="F574">
        <v>4723989.24</v>
      </c>
      <c r="G574">
        <v>5772662.0800000001</v>
      </c>
      <c r="H574" t="s">
        <v>26</v>
      </c>
    </row>
    <row r="575" spans="1:8" x14ac:dyDescent="0.2">
      <c r="A575" t="str">
        <f t="shared" si="8"/>
        <v>2033</v>
      </c>
      <c r="B575" s="3" t="s">
        <v>114</v>
      </c>
      <c r="C575" t="s">
        <v>38</v>
      </c>
      <c r="D575">
        <v>4999.72</v>
      </c>
      <c r="E575">
        <v>10925830.74</v>
      </c>
      <c r="F575">
        <v>45537173.030000001</v>
      </c>
      <c r="G575">
        <v>56463007.520000003</v>
      </c>
      <c r="H575" t="s">
        <v>26</v>
      </c>
    </row>
    <row r="576" spans="1:8" x14ac:dyDescent="0.2">
      <c r="A576" t="str">
        <f t="shared" si="8"/>
        <v>2033</v>
      </c>
      <c r="B576" s="3" t="s">
        <v>115</v>
      </c>
      <c r="C576" t="s">
        <v>8</v>
      </c>
      <c r="D576">
        <v>576.91</v>
      </c>
      <c r="E576">
        <v>1251766.28</v>
      </c>
      <c r="F576">
        <v>4883369.34</v>
      </c>
      <c r="G576">
        <v>6135135.6100000003</v>
      </c>
      <c r="H576" t="s">
        <v>26</v>
      </c>
    </row>
    <row r="577" spans="1:8" x14ac:dyDescent="0.2">
      <c r="A577" t="str">
        <f t="shared" si="8"/>
        <v>2033</v>
      </c>
      <c r="B577" s="3" t="s">
        <v>115</v>
      </c>
      <c r="C577" t="s">
        <v>10</v>
      </c>
      <c r="D577">
        <v>20015.009999999998</v>
      </c>
      <c r="E577">
        <v>51457198.939999998</v>
      </c>
      <c r="F577">
        <v>200286384.36000001</v>
      </c>
      <c r="G577">
        <v>251743583.30000001</v>
      </c>
      <c r="H577" t="s">
        <v>26</v>
      </c>
    </row>
    <row r="578" spans="1:8" x14ac:dyDescent="0.2">
      <c r="A578" t="str">
        <f t="shared" si="8"/>
        <v>2033</v>
      </c>
      <c r="B578" s="3" t="s">
        <v>115</v>
      </c>
      <c r="C578" t="s">
        <v>11</v>
      </c>
      <c r="D578">
        <v>1967.66</v>
      </c>
      <c r="E578">
        <v>4299910.04</v>
      </c>
      <c r="F578">
        <v>17921360.140000001</v>
      </c>
      <c r="G578">
        <v>22221271.66</v>
      </c>
      <c r="H578" t="s">
        <v>26</v>
      </c>
    </row>
    <row r="579" spans="1:8" x14ac:dyDescent="0.2">
      <c r="A579" t="str">
        <f t="shared" ref="A579:A642" si="9">LEFT(B579,4)</f>
        <v>2033</v>
      </c>
      <c r="B579" s="3" t="s">
        <v>115</v>
      </c>
      <c r="C579" t="s">
        <v>12</v>
      </c>
      <c r="D579">
        <v>4231.12</v>
      </c>
      <c r="E579">
        <v>12502584.15</v>
      </c>
      <c r="F579">
        <v>51018501.460000001</v>
      </c>
      <c r="G579">
        <v>63521085.600000001</v>
      </c>
      <c r="H579" t="s">
        <v>26</v>
      </c>
    </row>
    <row r="580" spans="1:8" x14ac:dyDescent="0.2">
      <c r="A580" t="str">
        <f t="shared" si="9"/>
        <v>2033</v>
      </c>
      <c r="B580" s="3" t="s">
        <v>115</v>
      </c>
      <c r="C580" t="s">
        <v>16</v>
      </c>
      <c r="D580">
        <v>427.22</v>
      </c>
      <c r="E580">
        <v>1073044.95</v>
      </c>
      <c r="F580">
        <v>4833782.99</v>
      </c>
      <c r="G580">
        <v>5906828.8200000003</v>
      </c>
      <c r="H580" t="s">
        <v>26</v>
      </c>
    </row>
    <row r="581" spans="1:8" x14ac:dyDescent="0.2">
      <c r="A581" t="str">
        <f t="shared" si="9"/>
        <v>2033</v>
      </c>
      <c r="B581" s="3" t="s">
        <v>115</v>
      </c>
      <c r="C581" t="s">
        <v>38</v>
      </c>
      <c r="D581">
        <v>5115.92</v>
      </c>
      <c r="E581">
        <v>11179766.1</v>
      </c>
      <c r="F581">
        <v>46595536.369999997</v>
      </c>
      <c r="G581">
        <v>57775306.310000002</v>
      </c>
      <c r="H581" t="s">
        <v>26</v>
      </c>
    </row>
    <row r="582" spans="1:8" x14ac:dyDescent="0.2">
      <c r="A582" t="str">
        <f t="shared" si="9"/>
        <v>2033</v>
      </c>
      <c r="B582" s="3" t="s">
        <v>116</v>
      </c>
      <c r="C582" t="s">
        <v>8</v>
      </c>
      <c r="D582">
        <v>615.66</v>
      </c>
      <c r="E582">
        <v>1335830.01</v>
      </c>
      <c r="F582">
        <v>5211317.33</v>
      </c>
      <c r="G582">
        <v>6547147.3300000001</v>
      </c>
      <c r="H582" t="s">
        <v>26</v>
      </c>
    </row>
    <row r="583" spans="1:8" x14ac:dyDescent="0.2">
      <c r="A583" t="str">
        <f t="shared" si="9"/>
        <v>2033</v>
      </c>
      <c r="B583" s="3" t="s">
        <v>116</v>
      </c>
      <c r="C583" t="s">
        <v>10</v>
      </c>
      <c r="D583">
        <v>21359.14</v>
      </c>
      <c r="E583">
        <v>54912863.219999999</v>
      </c>
      <c r="F583">
        <v>213736834.78999999</v>
      </c>
      <c r="G583">
        <v>268649698.00999999</v>
      </c>
      <c r="H583" t="s">
        <v>26</v>
      </c>
    </row>
    <row r="584" spans="1:8" x14ac:dyDescent="0.2">
      <c r="A584" t="str">
        <f t="shared" si="9"/>
        <v>2033</v>
      </c>
      <c r="B584" s="3" t="s">
        <v>116</v>
      </c>
      <c r="C584" t="s">
        <v>11</v>
      </c>
      <c r="D584">
        <v>2099.8000000000002</v>
      </c>
      <c r="E584">
        <v>4588675.18</v>
      </c>
      <c r="F584">
        <v>19124888.609999999</v>
      </c>
      <c r="G584">
        <v>23713565.370000001</v>
      </c>
      <c r="H584" t="s">
        <v>26</v>
      </c>
    </row>
    <row r="585" spans="1:8" x14ac:dyDescent="0.2">
      <c r="A585" t="str">
        <f t="shared" si="9"/>
        <v>2033</v>
      </c>
      <c r="B585" s="3" t="s">
        <v>116</v>
      </c>
      <c r="C585" t="s">
        <v>12</v>
      </c>
      <c r="D585">
        <v>4515.2700000000004</v>
      </c>
      <c r="E585">
        <v>13342208.810000001</v>
      </c>
      <c r="F585">
        <v>54444704.530000001</v>
      </c>
      <c r="G585">
        <v>67786913.340000004</v>
      </c>
      <c r="H585" t="s">
        <v>26</v>
      </c>
    </row>
    <row r="586" spans="1:8" x14ac:dyDescent="0.2">
      <c r="A586" t="str">
        <f t="shared" si="9"/>
        <v>2033</v>
      </c>
      <c r="B586" s="3" t="s">
        <v>116</v>
      </c>
      <c r="C586" t="s">
        <v>16</v>
      </c>
      <c r="D586">
        <v>455.91</v>
      </c>
      <c r="E586">
        <v>1145106.45</v>
      </c>
      <c r="F586">
        <v>5158400.96</v>
      </c>
      <c r="G586">
        <v>6303508.3499999996</v>
      </c>
      <c r="H586" t="s">
        <v>26</v>
      </c>
    </row>
    <row r="587" spans="1:8" x14ac:dyDescent="0.2">
      <c r="A587" t="str">
        <f t="shared" si="9"/>
        <v>2033</v>
      </c>
      <c r="B587" s="3" t="s">
        <v>116</v>
      </c>
      <c r="C587" t="s">
        <v>38</v>
      </c>
      <c r="D587">
        <v>5459.48</v>
      </c>
      <c r="E587">
        <v>11930555.48</v>
      </c>
      <c r="F587">
        <v>49724710.399999999</v>
      </c>
      <c r="G587">
        <v>61655269.969999999</v>
      </c>
      <c r="H587" t="s">
        <v>26</v>
      </c>
    </row>
    <row r="588" spans="1:8" x14ac:dyDescent="0.2">
      <c r="A588" t="str">
        <f t="shared" si="9"/>
        <v>2033</v>
      </c>
      <c r="B588" s="3" t="s">
        <v>117</v>
      </c>
      <c r="C588" t="s">
        <v>8</v>
      </c>
      <c r="D588">
        <v>622.45000000000005</v>
      </c>
      <c r="E588">
        <v>1350570.46</v>
      </c>
      <c r="F588">
        <v>5268822.51</v>
      </c>
      <c r="G588">
        <v>6619392.9699999997</v>
      </c>
      <c r="H588" t="s">
        <v>26</v>
      </c>
    </row>
    <row r="589" spans="1:8" x14ac:dyDescent="0.2">
      <c r="A589" t="str">
        <f t="shared" si="9"/>
        <v>2033</v>
      </c>
      <c r="B589" s="3" t="s">
        <v>117</v>
      </c>
      <c r="C589" t="s">
        <v>10</v>
      </c>
      <c r="D589">
        <v>21594.83</v>
      </c>
      <c r="E589">
        <v>55518808.75</v>
      </c>
      <c r="F589">
        <v>216095351.03999999</v>
      </c>
      <c r="G589">
        <v>271614159.79000002</v>
      </c>
      <c r="H589" t="s">
        <v>26</v>
      </c>
    </row>
    <row r="590" spans="1:8" x14ac:dyDescent="0.2">
      <c r="A590" t="str">
        <f t="shared" si="9"/>
        <v>2033</v>
      </c>
      <c r="B590" s="3" t="s">
        <v>117</v>
      </c>
      <c r="C590" t="s">
        <v>11</v>
      </c>
      <c r="D590">
        <v>2122.9699999999998</v>
      </c>
      <c r="E590">
        <v>4639309.72</v>
      </c>
      <c r="F590">
        <v>19335925.52</v>
      </c>
      <c r="G590">
        <v>23975236.829999998</v>
      </c>
      <c r="H590" t="s">
        <v>26</v>
      </c>
    </row>
    <row r="591" spans="1:8" x14ac:dyDescent="0.2">
      <c r="A591" t="str">
        <f t="shared" si="9"/>
        <v>2033</v>
      </c>
      <c r="B591" s="3" t="s">
        <v>117</v>
      </c>
      <c r="C591" t="s">
        <v>12</v>
      </c>
      <c r="D591">
        <v>4565.09</v>
      </c>
      <c r="E591">
        <v>13489435.73</v>
      </c>
      <c r="F591">
        <v>55045484.079999998</v>
      </c>
      <c r="G591">
        <v>68534919.810000002</v>
      </c>
      <c r="H591" t="s">
        <v>26</v>
      </c>
    </row>
    <row r="592" spans="1:8" x14ac:dyDescent="0.2">
      <c r="A592" t="str">
        <f t="shared" si="9"/>
        <v>2033</v>
      </c>
      <c r="B592" s="3" t="s">
        <v>117</v>
      </c>
      <c r="C592" t="s">
        <v>16</v>
      </c>
      <c r="D592">
        <v>460.95</v>
      </c>
      <c r="E592">
        <v>1157742.33</v>
      </c>
      <c r="F592">
        <v>5215322.2300000004</v>
      </c>
      <c r="G592">
        <v>6373065.5</v>
      </c>
      <c r="H592" t="s">
        <v>26</v>
      </c>
    </row>
    <row r="593" spans="1:8" x14ac:dyDescent="0.2">
      <c r="A593" t="str">
        <f t="shared" si="9"/>
        <v>2033</v>
      </c>
      <c r="B593" s="3" t="s">
        <v>117</v>
      </c>
      <c r="C593" t="s">
        <v>38</v>
      </c>
      <c r="D593">
        <v>5519.73</v>
      </c>
      <c r="E593">
        <v>12062205.27</v>
      </c>
      <c r="F593">
        <v>50273406.359999999</v>
      </c>
      <c r="G593">
        <v>62335615.759999998</v>
      </c>
      <c r="H593" t="s">
        <v>26</v>
      </c>
    </row>
    <row r="594" spans="1:8" x14ac:dyDescent="0.2">
      <c r="A594" t="str">
        <f t="shared" si="9"/>
        <v>2033</v>
      </c>
      <c r="B594" s="3" t="s">
        <v>118</v>
      </c>
      <c r="C594" t="s">
        <v>8</v>
      </c>
      <c r="D594">
        <v>572.28</v>
      </c>
      <c r="E594">
        <v>1241713.17</v>
      </c>
      <c r="F594">
        <v>4844150.32</v>
      </c>
      <c r="G594">
        <v>6085863.4900000002</v>
      </c>
      <c r="H594" t="s">
        <v>26</v>
      </c>
    </row>
    <row r="595" spans="1:8" x14ac:dyDescent="0.2">
      <c r="A595" t="str">
        <f t="shared" si="9"/>
        <v>2033</v>
      </c>
      <c r="B595" s="3" t="s">
        <v>118</v>
      </c>
      <c r="C595" t="s">
        <v>10</v>
      </c>
      <c r="D595">
        <v>19854.27</v>
      </c>
      <c r="E595">
        <v>51043939.020000003</v>
      </c>
      <c r="F595">
        <v>198677856.53999999</v>
      </c>
      <c r="G595">
        <v>249721795.56</v>
      </c>
      <c r="H595" t="s">
        <v>26</v>
      </c>
    </row>
    <row r="596" spans="1:8" x14ac:dyDescent="0.2">
      <c r="A596" t="str">
        <f t="shared" si="9"/>
        <v>2033</v>
      </c>
      <c r="B596" s="3" t="s">
        <v>118</v>
      </c>
      <c r="C596" t="s">
        <v>11</v>
      </c>
      <c r="D596">
        <v>1951.86</v>
      </c>
      <c r="E596">
        <v>4265376.8600000003</v>
      </c>
      <c r="F596">
        <v>17777431.210000001</v>
      </c>
      <c r="G596">
        <v>22042809.530000001</v>
      </c>
      <c r="H596" t="s">
        <v>26</v>
      </c>
    </row>
    <row r="597" spans="1:8" x14ac:dyDescent="0.2">
      <c r="A597" t="str">
        <f t="shared" si="9"/>
        <v>2033</v>
      </c>
      <c r="B597" s="3" t="s">
        <v>118</v>
      </c>
      <c r="C597" t="s">
        <v>12</v>
      </c>
      <c r="D597">
        <v>4197.1400000000003</v>
      </c>
      <c r="E597">
        <v>12402174.15</v>
      </c>
      <c r="F597">
        <v>50608764.770000003</v>
      </c>
      <c r="G597">
        <v>63010938.93</v>
      </c>
      <c r="H597" t="s">
        <v>26</v>
      </c>
    </row>
    <row r="598" spans="1:8" x14ac:dyDescent="0.2">
      <c r="A598" t="str">
        <f t="shared" si="9"/>
        <v>2033</v>
      </c>
      <c r="B598" s="3" t="s">
        <v>118</v>
      </c>
      <c r="C598" t="s">
        <v>16</v>
      </c>
      <c r="D598">
        <v>423.79</v>
      </c>
      <c r="E598">
        <v>1064427.17</v>
      </c>
      <c r="F598">
        <v>4794962.21</v>
      </c>
      <c r="G598">
        <v>5859390.25</v>
      </c>
      <c r="H598" t="s">
        <v>26</v>
      </c>
    </row>
    <row r="599" spans="1:8" x14ac:dyDescent="0.2">
      <c r="A599" t="str">
        <f t="shared" si="9"/>
        <v>2033</v>
      </c>
      <c r="B599" s="3" t="s">
        <v>118</v>
      </c>
      <c r="C599" t="s">
        <v>38</v>
      </c>
      <c r="D599">
        <v>5074.83</v>
      </c>
      <c r="E599">
        <v>11089979.84</v>
      </c>
      <c r="F599">
        <v>46221321.130000003</v>
      </c>
      <c r="G599">
        <v>57311304.780000001</v>
      </c>
      <c r="H599" t="s">
        <v>26</v>
      </c>
    </row>
    <row r="600" spans="1:8" x14ac:dyDescent="0.2">
      <c r="A600" t="str">
        <f t="shared" si="9"/>
        <v>2033</v>
      </c>
      <c r="B600" s="3" t="s">
        <v>119</v>
      </c>
      <c r="C600" t="s">
        <v>8</v>
      </c>
      <c r="D600">
        <v>555.05999999999995</v>
      </c>
      <c r="E600">
        <v>1204337.81</v>
      </c>
      <c r="F600">
        <v>4698342.1900000004</v>
      </c>
      <c r="G600">
        <v>5902679.9900000002</v>
      </c>
      <c r="H600" t="s">
        <v>26</v>
      </c>
    </row>
    <row r="601" spans="1:8" x14ac:dyDescent="0.2">
      <c r="A601" t="str">
        <f t="shared" si="9"/>
        <v>2033</v>
      </c>
      <c r="B601" s="3" t="s">
        <v>119</v>
      </c>
      <c r="C601" t="s">
        <v>10</v>
      </c>
      <c r="D601">
        <v>19256.66</v>
      </c>
      <c r="E601">
        <v>49507524.82</v>
      </c>
      <c r="F601">
        <v>192697685.62</v>
      </c>
      <c r="G601">
        <v>242205210.44</v>
      </c>
      <c r="H601" t="s">
        <v>26</v>
      </c>
    </row>
    <row r="602" spans="1:8" x14ac:dyDescent="0.2">
      <c r="A602" t="str">
        <f t="shared" si="9"/>
        <v>2033</v>
      </c>
      <c r="B602" s="3" t="s">
        <v>119</v>
      </c>
      <c r="C602" t="s">
        <v>11</v>
      </c>
      <c r="D602">
        <v>1893.11</v>
      </c>
      <c r="E602">
        <v>4136989.72</v>
      </c>
      <c r="F602">
        <v>17242333.440000001</v>
      </c>
      <c r="G602">
        <v>21379324.579999998</v>
      </c>
      <c r="H602" t="s">
        <v>26</v>
      </c>
    </row>
    <row r="603" spans="1:8" x14ac:dyDescent="0.2">
      <c r="A603" t="str">
        <f t="shared" si="9"/>
        <v>2033</v>
      </c>
      <c r="B603" s="3" t="s">
        <v>119</v>
      </c>
      <c r="C603" t="s">
        <v>12</v>
      </c>
      <c r="D603">
        <v>4070.81</v>
      </c>
      <c r="E603">
        <v>12028870.74</v>
      </c>
      <c r="F603">
        <v>49085449.25</v>
      </c>
      <c r="G603">
        <v>61114319.990000002</v>
      </c>
      <c r="H603" t="s">
        <v>26</v>
      </c>
    </row>
    <row r="604" spans="1:8" x14ac:dyDescent="0.2">
      <c r="A604" t="str">
        <f t="shared" si="9"/>
        <v>2033</v>
      </c>
      <c r="B604" s="3" t="s">
        <v>119</v>
      </c>
      <c r="C604" t="s">
        <v>16</v>
      </c>
      <c r="D604">
        <v>411.04</v>
      </c>
      <c r="E604">
        <v>1032388.09</v>
      </c>
      <c r="F604">
        <v>4650634.63</v>
      </c>
      <c r="G604">
        <v>5683023.5700000003</v>
      </c>
      <c r="H604" t="s">
        <v>26</v>
      </c>
    </row>
    <row r="605" spans="1:8" x14ac:dyDescent="0.2">
      <c r="A605" t="str">
        <f t="shared" si="9"/>
        <v>2033</v>
      </c>
      <c r="B605" s="3" t="s">
        <v>119</v>
      </c>
      <c r="C605" t="s">
        <v>38</v>
      </c>
      <c r="D605">
        <v>4922.08</v>
      </c>
      <c r="E605">
        <v>10756173.27</v>
      </c>
      <c r="F605">
        <v>44830066.939999998</v>
      </c>
      <c r="G605">
        <v>55586243.899999999</v>
      </c>
      <c r="H605" t="s">
        <v>26</v>
      </c>
    </row>
    <row r="606" spans="1:8" x14ac:dyDescent="0.2">
      <c r="A606" t="str">
        <f t="shared" si="9"/>
        <v>2033</v>
      </c>
      <c r="B606" s="3" t="s">
        <v>120</v>
      </c>
      <c r="C606" t="s">
        <v>8</v>
      </c>
      <c r="D606">
        <v>452.16</v>
      </c>
      <c r="E606">
        <v>981072.44</v>
      </c>
      <c r="F606">
        <v>3827343.12</v>
      </c>
      <c r="G606">
        <v>4808415.5599999996</v>
      </c>
      <c r="H606" t="s">
        <v>26</v>
      </c>
    </row>
    <row r="607" spans="1:8" x14ac:dyDescent="0.2">
      <c r="A607" t="str">
        <f t="shared" si="9"/>
        <v>2033</v>
      </c>
      <c r="B607" s="3" t="s">
        <v>120</v>
      </c>
      <c r="C607" t="s">
        <v>10</v>
      </c>
      <c r="D607">
        <v>15686.78</v>
      </c>
      <c r="E607">
        <v>40329605.020000003</v>
      </c>
      <c r="F607">
        <v>156974552.41999999</v>
      </c>
      <c r="G607">
        <v>197304157.44999999</v>
      </c>
      <c r="H607" t="s">
        <v>26</v>
      </c>
    </row>
    <row r="608" spans="1:8" x14ac:dyDescent="0.2">
      <c r="A608" t="str">
        <f t="shared" si="9"/>
        <v>2033</v>
      </c>
      <c r="B608" s="3" t="s">
        <v>120</v>
      </c>
      <c r="C608" t="s">
        <v>11</v>
      </c>
      <c r="D608">
        <v>1542.16</v>
      </c>
      <c r="E608">
        <v>3370056.61</v>
      </c>
      <c r="F608">
        <v>14045874.84</v>
      </c>
      <c r="G608">
        <v>17415932.609999999</v>
      </c>
      <c r="H608" t="s">
        <v>26</v>
      </c>
    </row>
    <row r="609" spans="1:8" x14ac:dyDescent="0.2">
      <c r="A609" t="str">
        <f t="shared" si="9"/>
        <v>2033</v>
      </c>
      <c r="B609" s="3" t="s">
        <v>120</v>
      </c>
      <c r="C609" t="s">
        <v>12</v>
      </c>
      <c r="D609">
        <v>3316.14</v>
      </c>
      <c r="E609">
        <v>9798906.4800000004</v>
      </c>
      <c r="F609">
        <v>39985775.649999999</v>
      </c>
      <c r="G609">
        <v>49784682.140000001</v>
      </c>
      <c r="H609" t="s">
        <v>26</v>
      </c>
    </row>
    <row r="610" spans="1:8" x14ac:dyDescent="0.2">
      <c r="A610" t="str">
        <f t="shared" si="9"/>
        <v>2033</v>
      </c>
      <c r="B610" s="3" t="s">
        <v>120</v>
      </c>
      <c r="C610" t="s">
        <v>16</v>
      </c>
      <c r="D610">
        <v>334.84</v>
      </c>
      <c r="E610">
        <v>840999.51</v>
      </c>
      <c r="F610">
        <v>3788479.8</v>
      </c>
      <c r="G610">
        <v>4629480</v>
      </c>
      <c r="H610" t="s">
        <v>26</v>
      </c>
    </row>
    <row r="611" spans="1:8" x14ac:dyDescent="0.2">
      <c r="A611" t="str">
        <f t="shared" si="9"/>
        <v>2033</v>
      </c>
      <c r="B611" s="3" t="s">
        <v>120</v>
      </c>
      <c r="C611" t="s">
        <v>38</v>
      </c>
      <c r="D611">
        <v>4009.6</v>
      </c>
      <c r="E611">
        <v>8762147.1899999995</v>
      </c>
      <c r="F611">
        <v>36519274.590000004</v>
      </c>
      <c r="G611">
        <v>45281424.789999999</v>
      </c>
      <c r="H611" t="s">
        <v>26</v>
      </c>
    </row>
    <row r="612" spans="1:8" x14ac:dyDescent="0.2">
      <c r="A612" t="str">
        <f t="shared" si="9"/>
        <v>2033</v>
      </c>
      <c r="B612" s="3" t="s">
        <v>121</v>
      </c>
      <c r="C612" t="s">
        <v>8</v>
      </c>
      <c r="D612">
        <v>475.24</v>
      </c>
      <c r="E612">
        <v>1031152.96</v>
      </c>
      <c r="F612">
        <v>4022716.39</v>
      </c>
      <c r="G612">
        <v>5053869.3499999996</v>
      </c>
      <c r="H612" t="s">
        <v>26</v>
      </c>
    </row>
    <row r="613" spans="1:8" x14ac:dyDescent="0.2">
      <c r="A613" t="str">
        <f t="shared" si="9"/>
        <v>2033</v>
      </c>
      <c r="B613" s="3" t="s">
        <v>121</v>
      </c>
      <c r="C613" t="s">
        <v>10</v>
      </c>
      <c r="D613">
        <v>16487.54</v>
      </c>
      <c r="E613">
        <v>42388298.640000001</v>
      </c>
      <c r="F613">
        <v>164987586.72</v>
      </c>
      <c r="G613">
        <v>207375885.36000001</v>
      </c>
      <c r="H613" t="s">
        <v>26</v>
      </c>
    </row>
    <row r="614" spans="1:8" x14ac:dyDescent="0.2">
      <c r="A614" t="str">
        <f t="shared" si="9"/>
        <v>2033</v>
      </c>
      <c r="B614" s="3" t="s">
        <v>121</v>
      </c>
      <c r="C614" t="s">
        <v>11</v>
      </c>
      <c r="D614">
        <v>1620.88</v>
      </c>
      <c r="E614">
        <v>3542086.91</v>
      </c>
      <c r="F614">
        <v>14762870.529999999</v>
      </c>
      <c r="G614">
        <v>18304958.649999999</v>
      </c>
      <c r="H614" t="s">
        <v>26</v>
      </c>
    </row>
    <row r="615" spans="1:8" x14ac:dyDescent="0.2">
      <c r="A615" t="str">
        <f t="shared" si="9"/>
        <v>2033</v>
      </c>
      <c r="B615" s="3" t="s">
        <v>121</v>
      </c>
      <c r="C615" t="s">
        <v>12</v>
      </c>
      <c r="D615">
        <v>3485.42</v>
      </c>
      <c r="E615">
        <v>10299108.41</v>
      </c>
      <c r="F615">
        <v>42026917.909999996</v>
      </c>
      <c r="G615">
        <v>52326026.32</v>
      </c>
      <c r="H615" t="s">
        <v>26</v>
      </c>
    </row>
    <row r="616" spans="1:8" x14ac:dyDescent="0.2">
      <c r="A616" t="str">
        <f t="shared" si="9"/>
        <v>2033</v>
      </c>
      <c r="B616" s="3" t="s">
        <v>121</v>
      </c>
      <c r="C616" t="s">
        <v>16</v>
      </c>
      <c r="D616">
        <v>351.93</v>
      </c>
      <c r="E616">
        <v>883929.76</v>
      </c>
      <c r="F616">
        <v>3981869.23</v>
      </c>
      <c r="G616">
        <v>4865799.72</v>
      </c>
      <c r="H616" t="s">
        <v>26</v>
      </c>
    </row>
    <row r="617" spans="1:8" x14ac:dyDescent="0.2">
      <c r="A617" t="str">
        <f t="shared" si="9"/>
        <v>2033</v>
      </c>
      <c r="B617" s="3" t="s">
        <v>121</v>
      </c>
      <c r="C617" t="s">
        <v>38</v>
      </c>
      <c r="D617">
        <v>4214.28</v>
      </c>
      <c r="E617">
        <v>9209425.9700000007</v>
      </c>
      <c r="F617">
        <v>38383463.369999997</v>
      </c>
      <c r="G617">
        <v>47592892.5</v>
      </c>
      <c r="H617" t="s">
        <v>26</v>
      </c>
    </row>
    <row r="618" spans="1:8" x14ac:dyDescent="0.2">
      <c r="A618" t="str">
        <f t="shared" si="9"/>
        <v>2034</v>
      </c>
      <c r="B618" s="3" t="s">
        <v>122</v>
      </c>
      <c r="C618" t="s">
        <v>8</v>
      </c>
      <c r="D618">
        <v>143.91</v>
      </c>
      <c r="E618">
        <v>312253.34000000003</v>
      </c>
      <c r="F618">
        <v>1218157.44</v>
      </c>
      <c r="G618">
        <v>1530410.78</v>
      </c>
      <c r="H618" t="s">
        <v>26</v>
      </c>
    </row>
    <row r="619" spans="1:8" x14ac:dyDescent="0.2">
      <c r="A619" t="str">
        <f t="shared" si="9"/>
        <v>2034</v>
      </c>
      <c r="B619" s="3" t="s">
        <v>122</v>
      </c>
      <c r="C619" t="s">
        <v>10</v>
      </c>
      <c r="D619">
        <v>14978.25</v>
      </c>
      <c r="E619">
        <v>38508025.170000002</v>
      </c>
      <c r="F619">
        <v>149884433.81999999</v>
      </c>
      <c r="G619">
        <v>188392458.99000001</v>
      </c>
      <c r="H619" t="s">
        <v>26</v>
      </c>
    </row>
    <row r="620" spans="1:8" x14ac:dyDescent="0.2">
      <c r="A620" t="str">
        <f t="shared" si="9"/>
        <v>2034</v>
      </c>
      <c r="B620" s="3" t="s">
        <v>122</v>
      </c>
      <c r="C620" t="s">
        <v>11</v>
      </c>
      <c r="D620">
        <v>1472.5</v>
      </c>
      <c r="E620">
        <v>3217840.21</v>
      </c>
      <c r="F620">
        <v>13411460.43</v>
      </c>
      <c r="G620">
        <v>16629301.75</v>
      </c>
      <c r="H620" t="s">
        <v>26</v>
      </c>
    </row>
    <row r="621" spans="1:8" x14ac:dyDescent="0.2">
      <c r="A621" t="str">
        <f t="shared" si="9"/>
        <v>2034</v>
      </c>
      <c r="B621" s="3" t="s">
        <v>122</v>
      </c>
      <c r="C621" t="s">
        <v>12</v>
      </c>
      <c r="D621">
        <v>3166.36</v>
      </c>
      <c r="E621">
        <v>9356316.2200000007</v>
      </c>
      <c r="F621">
        <v>38179725.640000001</v>
      </c>
      <c r="G621">
        <v>47536041.859999999</v>
      </c>
      <c r="H621" t="s">
        <v>26</v>
      </c>
    </row>
    <row r="622" spans="1:8" x14ac:dyDescent="0.2">
      <c r="A622" t="str">
        <f t="shared" si="9"/>
        <v>2034</v>
      </c>
      <c r="B622" s="3" t="s">
        <v>122</v>
      </c>
      <c r="C622" t="s">
        <v>16</v>
      </c>
      <c r="D622">
        <v>319.70999999999998</v>
      </c>
      <c r="E622">
        <v>803013.82</v>
      </c>
      <c r="F622">
        <v>3617364.35</v>
      </c>
      <c r="G622">
        <v>4420378.83</v>
      </c>
      <c r="H622" t="s">
        <v>26</v>
      </c>
    </row>
    <row r="623" spans="1:8" x14ac:dyDescent="0.2">
      <c r="A623" t="str">
        <f t="shared" si="9"/>
        <v>2034</v>
      </c>
      <c r="B623" s="3" t="s">
        <v>122</v>
      </c>
      <c r="C623" t="s">
        <v>38</v>
      </c>
      <c r="D623">
        <v>5448.25</v>
      </c>
      <c r="E623">
        <v>11906008.789999999</v>
      </c>
      <c r="F623">
        <v>49622403.590000004</v>
      </c>
      <c r="G623">
        <v>61528416.460000001</v>
      </c>
      <c r="H623" t="s">
        <v>26</v>
      </c>
    </row>
    <row r="624" spans="1:8" x14ac:dyDescent="0.2">
      <c r="A624" t="str">
        <f t="shared" si="9"/>
        <v>2034</v>
      </c>
      <c r="B624" s="3" t="s">
        <v>123</v>
      </c>
      <c r="C624" t="s">
        <v>8</v>
      </c>
      <c r="D624">
        <v>137.13</v>
      </c>
      <c r="E624">
        <v>297545.21999999997</v>
      </c>
      <c r="F624">
        <v>1160778.3400000001</v>
      </c>
      <c r="G624">
        <v>1458323.56</v>
      </c>
      <c r="H624" t="s">
        <v>26</v>
      </c>
    </row>
    <row r="625" spans="1:8" x14ac:dyDescent="0.2">
      <c r="A625" t="str">
        <f t="shared" si="9"/>
        <v>2034</v>
      </c>
      <c r="B625" s="3" t="s">
        <v>123</v>
      </c>
      <c r="C625" t="s">
        <v>10</v>
      </c>
      <c r="D625">
        <v>14272.72</v>
      </c>
      <c r="E625">
        <v>36694174.409999996</v>
      </c>
      <c r="F625">
        <v>142824399.12</v>
      </c>
      <c r="G625">
        <v>179518573.53</v>
      </c>
      <c r="H625" t="s">
        <v>26</v>
      </c>
    </row>
    <row r="626" spans="1:8" x14ac:dyDescent="0.2">
      <c r="A626" t="str">
        <f t="shared" si="9"/>
        <v>2034</v>
      </c>
      <c r="B626" s="3" t="s">
        <v>123</v>
      </c>
      <c r="C626" t="s">
        <v>11</v>
      </c>
      <c r="D626">
        <v>1403.14</v>
      </c>
      <c r="E626">
        <v>3066269.68</v>
      </c>
      <c r="F626">
        <v>12779737.880000001</v>
      </c>
      <c r="G626">
        <v>15846008.619999999</v>
      </c>
      <c r="H626" t="s">
        <v>26</v>
      </c>
    </row>
    <row r="627" spans="1:8" x14ac:dyDescent="0.2">
      <c r="A627" t="str">
        <f t="shared" si="9"/>
        <v>2034</v>
      </c>
      <c r="B627" s="3" t="s">
        <v>123</v>
      </c>
      <c r="C627" t="s">
        <v>12</v>
      </c>
      <c r="D627">
        <v>3017.22</v>
      </c>
      <c r="E627">
        <v>8915603.8900000006</v>
      </c>
      <c r="F627">
        <v>36381338.840000004</v>
      </c>
      <c r="G627">
        <v>45296942.729999997</v>
      </c>
      <c r="H627" t="s">
        <v>26</v>
      </c>
    </row>
    <row r="628" spans="1:8" x14ac:dyDescent="0.2">
      <c r="A628" t="str">
        <f t="shared" si="9"/>
        <v>2034</v>
      </c>
      <c r="B628" s="3" t="s">
        <v>123</v>
      </c>
      <c r="C628" t="s">
        <v>16</v>
      </c>
      <c r="D628">
        <v>304.64999999999998</v>
      </c>
      <c r="E628">
        <v>765189.31</v>
      </c>
      <c r="F628">
        <v>3446974.96</v>
      </c>
      <c r="G628">
        <v>4212164.8899999997</v>
      </c>
      <c r="H628" t="s">
        <v>26</v>
      </c>
    </row>
    <row r="629" spans="1:8" x14ac:dyDescent="0.2">
      <c r="A629" t="str">
        <f t="shared" si="9"/>
        <v>2034</v>
      </c>
      <c r="B629" s="3" t="s">
        <v>123</v>
      </c>
      <c r="C629" t="s">
        <v>38</v>
      </c>
      <c r="D629">
        <v>5191.62</v>
      </c>
      <c r="E629">
        <v>11345197.810000001</v>
      </c>
      <c r="F629">
        <v>47285030.170000002</v>
      </c>
      <c r="G629">
        <v>58630231.880000003</v>
      </c>
      <c r="H629" t="s">
        <v>26</v>
      </c>
    </row>
    <row r="630" spans="1:8" x14ac:dyDescent="0.2">
      <c r="A630" t="str">
        <f t="shared" si="9"/>
        <v>2034</v>
      </c>
      <c r="B630" s="3" t="s">
        <v>124</v>
      </c>
      <c r="C630" t="s">
        <v>8</v>
      </c>
      <c r="D630">
        <v>170.63</v>
      </c>
      <c r="E630">
        <v>370229.49</v>
      </c>
      <c r="F630">
        <v>1444332.99</v>
      </c>
      <c r="G630">
        <v>1814562.48</v>
      </c>
      <c r="H630" t="s">
        <v>26</v>
      </c>
    </row>
    <row r="631" spans="1:8" x14ac:dyDescent="0.2">
      <c r="A631" t="str">
        <f t="shared" si="9"/>
        <v>2034</v>
      </c>
      <c r="B631" s="3" t="s">
        <v>124</v>
      </c>
      <c r="C631" t="s">
        <v>10</v>
      </c>
      <c r="D631">
        <v>17759.259999999998</v>
      </c>
      <c r="E631">
        <v>45657818.25</v>
      </c>
      <c r="F631">
        <v>177713507.99000001</v>
      </c>
      <c r="G631">
        <v>223371326.24000001</v>
      </c>
      <c r="H631" t="s">
        <v>26</v>
      </c>
    </row>
    <row r="632" spans="1:8" x14ac:dyDescent="0.2">
      <c r="A632" t="str">
        <f t="shared" si="9"/>
        <v>2034</v>
      </c>
      <c r="B632" s="3" t="s">
        <v>124</v>
      </c>
      <c r="C632" t="s">
        <v>11</v>
      </c>
      <c r="D632">
        <v>1745.9</v>
      </c>
      <c r="E632">
        <v>3815297.28</v>
      </c>
      <c r="F632">
        <v>15901569.09</v>
      </c>
      <c r="G632">
        <v>19716867.68</v>
      </c>
      <c r="H632" t="s">
        <v>26</v>
      </c>
    </row>
    <row r="633" spans="1:8" x14ac:dyDescent="0.2">
      <c r="A633" t="str">
        <f t="shared" si="9"/>
        <v>2034</v>
      </c>
      <c r="B633" s="3" t="s">
        <v>124</v>
      </c>
      <c r="C633" t="s">
        <v>12</v>
      </c>
      <c r="D633">
        <v>3754.26</v>
      </c>
      <c r="E633">
        <v>11093505.41</v>
      </c>
      <c r="F633">
        <v>45268563.289999999</v>
      </c>
      <c r="G633">
        <v>56362068.689999998</v>
      </c>
      <c r="H633" t="s">
        <v>26</v>
      </c>
    </row>
    <row r="634" spans="1:8" x14ac:dyDescent="0.2">
      <c r="A634" t="str">
        <f t="shared" si="9"/>
        <v>2034</v>
      </c>
      <c r="B634" s="3" t="s">
        <v>124</v>
      </c>
      <c r="C634" t="s">
        <v>16</v>
      </c>
      <c r="D634">
        <v>379.07</v>
      </c>
      <c r="E634">
        <v>952109.56</v>
      </c>
      <c r="F634">
        <v>4289001.1500000004</v>
      </c>
      <c r="G634">
        <v>5241111.49</v>
      </c>
      <c r="H634" t="s">
        <v>26</v>
      </c>
    </row>
    <row r="635" spans="1:8" x14ac:dyDescent="0.2">
      <c r="A635" t="str">
        <f t="shared" si="9"/>
        <v>2034</v>
      </c>
      <c r="B635" s="3" t="s">
        <v>124</v>
      </c>
      <c r="C635" t="s">
        <v>38</v>
      </c>
      <c r="D635">
        <v>6459.83</v>
      </c>
      <c r="E635">
        <v>14116599.93</v>
      </c>
      <c r="F635">
        <v>58835805.640000001</v>
      </c>
      <c r="G635">
        <v>72952410.409999996</v>
      </c>
      <c r="H635" t="s">
        <v>26</v>
      </c>
    </row>
    <row r="636" spans="1:8" x14ac:dyDescent="0.2">
      <c r="A636" t="str">
        <f t="shared" si="9"/>
        <v>2034</v>
      </c>
      <c r="B636" s="3" t="s">
        <v>125</v>
      </c>
      <c r="C636" t="s">
        <v>8</v>
      </c>
      <c r="D636">
        <v>180.89</v>
      </c>
      <c r="E636">
        <v>392495.07</v>
      </c>
      <c r="F636">
        <v>1531195.09</v>
      </c>
      <c r="G636">
        <v>1923690.16</v>
      </c>
      <c r="H636" t="s">
        <v>26</v>
      </c>
    </row>
    <row r="637" spans="1:8" x14ac:dyDescent="0.2">
      <c r="A637" t="str">
        <f t="shared" si="9"/>
        <v>2034</v>
      </c>
      <c r="B637" s="3" t="s">
        <v>125</v>
      </c>
      <c r="C637" t="s">
        <v>10</v>
      </c>
      <c r="D637">
        <v>18827.3</v>
      </c>
      <c r="E637">
        <v>48403676.75</v>
      </c>
      <c r="F637">
        <v>188401187.88</v>
      </c>
      <c r="G637">
        <v>236804864.63</v>
      </c>
      <c r="H637" t="s">
        <v>26</v>
      </c>
    </row>
    <row r="638" spans="1:8" x14ac:dyDescent="0.2">
      <c r="A638" t="str">
        <f t="shared" si="9"/>
        <v>2034</v>
      </c>
      <c r="B638" s="3" t="s">
        <v>125</v>
      </c>
      <c r="C638" t="s">
        <v>11</v>
      </c>
      <c r="D638">
        <v>1850.9</v>
      </c>
      <c r="E638">
        <v>4044749.03</v>
      </c>
      <c r="F638">
        <v>16857888.52</v>
      </c>
      <c r="G638">
        <v>20902638.940000001</v>
      </c>
      <c r="H638" t="s">
        <v>26</v>
      </c>
    </row>
    <row r="639" spans="1:8" x14ac:dyDescent="0.2">
      <c r="A639" t="str">
        <f t="shared" si="9"/>
        <v>2034</v>
      </c>
      <c r="B639" s="3" t="s">
        <v>125</v>
      </c>
      <c r="C639" t="s">
        <v>12</v>
      </c>
      <c r="D639">
        <v>3980.04</v>
      </c>
      <c r="E639">
        <v>11760668.17</v>
      </c>
      <c r="F639">
        <v>47991012.009999998</v>
      </c>
      <c r="G639">
        <v>59751680.18</v>
      </c>
      <c r="H639" t="s">
        <v>26</v>
      </c>
    </row>
    <row r="640" spans="1:8" x14ac:dyDescent="0.2">
      <c r="A640" t="str">
        <f t="shared" si="9"/>
        <v>2034</v>
      </c>
      <c r="B640" s="3" t="s">
        <v>125</v>
      </c>
      <c r="C640" t="s">
        <v>16</v>
      </c>
      <c r="D640">
        <v>401.87</v>
      </c>
      <c r="E640">
        <v>1009369.38</v>
      </c>
      <c r="F640">
        <v>4546941.42</v>
      </c>
      <c r="G640">
        <v>5556311.6299999999</v>
      </c>
      <c r="H640" t="s">
        <v>26</v>
      </c>
    </row>
    <row r="641" spans="1:8" x14ac:dyDescent="0.2">
      <c r="A641" t="str">
        <f t="shared" si="9"/>
        <v>2034</v>
      </c>
      <c r="B641" s="3" t="s">
        <v>125</v>
      </c>
      <c r="C641" t="s">
        <v>38</v>
      </c>
      <c r="D641">
        <v>6848.32</v>
      </c>
      <c r="E641">
        <v>14965571.41</v>
      </c>
      <c r="F641">
        <v>62374187.520000003</v>
      </c>
      <c r="G641">
        <v>77339764.069999993</v>
      </c>
      <c r="H641" t="s">
        <v>26</v>
      </c>
    </row>
    <row r="642" spans="1:8" x14ac:dyDescent="0.2">
      <c r="A642" t="str">
        <f t="shared" si="9"/>
        <v>2034</v>
      </c>
      <c r="B642" s="3" t="s">
        <v>126</v>
      </c>
      <c r="C642" t="s">
        <v>8</v>
      </c>
      <c r="D642">
        <v>195.71</v>
      </c>
      <c r="E642">
        <v>424651.7</v>
      </c>
      <c r="F642">
        <v>1656644.01</v>
      </c>
      <c r="G642">
        <v>2081295.71</v>
      </c>
      <c r="H642" t="s">
        <v>26</v>
      </c>
    </row>
    <row r="643" spans="1:8" x14ac:dyDescent="0.2">
      <c r="A643" t="str">
        <f t="shared" ref="A643:A706" si="10">LEFT(B643,4)</f>
        <v>2034</v>
      </c>
      <c r="B643" s="3" t="s">
        <v>126</v>
      </c>
      <c r="C643" t="s">
        <v>10</v>
      </c>
      <c r="D643">
        <v>20369.8</v>
      </c>
      <c r="E643">
        <v>52369330.079999998</v>
      </c>
      <c r="F643">
        <v>203836664.03</v>
      </c>
      <c r="G643">
        <v>256205994.09999999</v>
      </c>
      <c r="H643" t="s">
        <v>26</v>
      </c>
    </row>
    <row r="644" spans="1:8" x14ac:dyDescent="0.2">
      <c r="A644" t="str">
        <f t="shared" si="10"/>
        <v>2034</v>
      </c>
      <c r="B644" s="3" t="s">
        <v>126</v>
      </c>
      <c r="C644" t="s">
        <v>11</v>
      </c>
      <c r="D644">
        <v>2002.54</v>
      </c>
      <c r="E644">
        <v>4376130.3099999996</v>
      </c>
      <c r="F644">
        <v>18239034.460000001</v>
      </c>
      <c r="G644">
        <v>22615166.280000001</v>
      </c>
      <c r="H644" t="s">
        <v>26</v>
      </c>
    </row>
    <row r="645" spans="1:8" x14ac:dyDescent="0.2">
      <c r="A645" t="str">
        <f t="shared" si="10"/>
        <v>2034</v>
      </c>
      <c r="B645" s="3" t="s">
        <v>126</v>
      </c>
      <c r="C645" t="s">
        <v>12</v>
      </c>
      <c r="D645">
        <v>4306.12</v>
      </c>
      <c r="E645">
        <v>12724205.15</v>
      </c>
      <c r="F645">
        <v>51922856.229999997</v>
      </c>
      <c r="G645">
        <v>64647061.390000001</v>
      </c>
      <c r="H645" t="s">
        <v>26</v>
      </c>
    </row>
    <row r="646" spans="1:8" x14ac:dyDescent="0.2">
      <c r="A646" t="str">
        <f t="shared" si="10"/>
        <v>2034</v>
      </c>
      <c r="B646" s="3" t="s">
        <v>126</v>
      </c>
      <c r="C646" t="s">
        <v>16</v>
      </c>
      <c r="D646">
        <v>434.8</v>
      </c>
      <c r="E646">
        <v>1092065.76</v>
      </c>
      <c r="F646">
        <v>4919466.71</v>
      </c>
      <c r="G646">
        <v>6011533.3600000003</v>
      </c>
      <c r="H646" t="s">
        <v>26</v>
      </c>
    </row>
    <row r="647" spans="1:8" x14ac:dyDescent="0.2">
      <c r="A647" t="str">
        <f t="shared" si="10"/>
        <v>2034</v>
      </c>
      <c r="B647" s="3" t="s">
        <v>126</v>
      </c>
      <c r="C647" t="s">
        <v>38</v>
      </c>
      <c r="D647">
        <v>7409.4</v>
      </c>
      <c r="E647">
        <v>16191682.16</v>
      </c>
      <c r="F647">
        <v>67484427.5</v>
      </c>
      <c r="G647">
        <v>83676115.219999999</v>
      </c>
      <c r="H647" t="s">
        <v>26</v>
      </c>
    </row>
    <row r="648" spans="1:8" x14ac:dyDescent="0.2">
      <c r="A648" t="str">
        <f t="shared" si="10"/>
        <v>2034</v>
      </c>
      <c r="B648" s="3" t="s">
        <v>127</v>
      </c>
      <c r="C648" t="s">
        <v>8</v>
      </c>
      <c r="D648">
        <v>200.26</v>
      </c>
      <c r="E648">
        <v>434521.35</v>
      </c>
      <c r="F648">
        <v>1695147.3</v>
      </c>
      <c r="G648">
        <v>2129668.65</v>
      </c>
      <c r="H648" t="s">
        <v>26</v>
      </c>
    </row>
    <row r="649" spans="1:8" x14ac:dyDescent="0.2">
      <c r="A649" t="str">
        <f t="shared" si="10"/>
        <v>2034</v>
      </c>
      <c r="B649" s="3" t="s">
        <v>127</v>
      </c>
      <c r="C649" t="s">
        <v>10</v>
      </c>
      <c r="D649">
        <v>20843.23</v>
      </c>
      <c r="E649">
        <v>53586484.659999996</v>
      </c>
      <c r="F649">
        <v>208574183.66999999</v>
      </c>
      <c r="G649">
        <v>262160668.33000001</v>
      </c>
      <c r="H649" t="s">
        <v>26</v>
      </c>
    </row>
    <row r="650" spans="1:8" x14ac:dyDescent="0.2">
      <c r="A650" t="str">
        <f t="shared" si="10"/>
        <v>2034</v>
      </c>
      <c r="B650" s="3" t="s">
        <v>127</v>
      </c>
      <c r="C650" t="s">
        <v>11</v>
      </c>
      <c r="D650">
        <v>2049.08</v>
      </c>
      <c r="E650">
        <v>4477839.22</v>
      </c>
      <c r="F650">
        <v>18662941.440000001</v>
      </c>
      <c r="G650">
        <v>23140782.190000001</v>
      </c>
      <c r="H650" t="s">
        <v>26</v>
      </c>
    </row>
    <row r="651" spans="1:8" x14ac:dyDescent="0.2">
      <c r="A651" t="str">
        <f t="shared" si="10"/>
        <v>2034</v>
      </c>
      <c r="B651" s="3" t="s">
        <v>127</v>
      </c>
      <c r="C651" t="s">
        <v>12</v>
      </c>
      <c r="D651">
        <v>4406.2</v>
      </c>
      <c r="E651">
        <v>13019937.880000001</v>
      </c>
      <c r="F651">
        <v>53129633.990000002</v>
      </c>
      <c r="G651">
        <v>66149571.859999999</v>
      </c>
      <c r="H651" t="s">
        <v>26</v>
      </c>
    </row>
    <row r="652" spans="1:8" x14ac:dyDescent="0.2">
      <c r="A652" t="str">
        <f t="shared" si="10"/>
        <v>2034</v>
      </c>
      <c r="B652" s="3" t="s">
        <v>127</v>
      </c>
      <c r="C652" t="s">
        <v>16</v>
      </c>
      <c r="D652">
        <v>444.9</v>
      </c>
      <c r="E652">
        <v>1117447.27</v>
      </c>
      <c r="F652">
        <v>5033803.6900000004</v>
      </c>
      <c r="G652">
        <v>6151251.8799999999</v>
      </c>
      <c r="H652" t="s">
        <v>26</v>
      </c>
    </row>
    <row r="653" spans="1:8" x14ac:dyDescent="0.2">
      <c r="A653" t="str">
        <f t="shared" si="10"/>
        <v>2034</v>
      </c>
      <c r="B653" s="3" t="s">
        <v>127</v>
      </c>
      <c r="C653" t="s">
        <v>38</v>
      </c>
      <c r="D653">
        <v>7581.6</v>
      </c>
      <c r="E653">
        <v>16568005.1</v>
      </c>
      <c r="F653">
        <v>69052883.319999993</v>
      </c>
      <c r="G653">
        <v>85620894.099999994</v>
      </c>
      <c r="H653" t="s">
        <v>26</v>
      </c>
    </row>
    <row r="654" spans="1:8" x14ac:dyDescent="0.2">
      <c r="A654" t="str">
        <f t="shared" si="10"/>
        <v>2034</v>
      </c>
      <c r="B654" s="3" t="s">
        <v>128</v>
      </c>
      <c r="C654" t="s">
        <v>8</v>
      </c>
      <c r="D654">
        <v>213.71</v>
      </c>
      <c r="E654">
        <v>463702.1</v>
      </c>
      <c r="F654">
        <v>1808986.77</v>
      </c>
      <c r="G654">
        <v>2272688.87</v>
      </c>
      <c r="H654" t="s">
        <v>26</v>
      </c>
    </row>
    <row r="655" spans="1:8" x14ac:dyDescent="0.2">
      <c r="A655" t="str">
        <f t="shared" si="10"/>
        <v>2034</v>
      </c>
      <c r="B655" s="3" t="s">
        <v>128</v>
      </c>
      <c r="C655" t="s">
        <v>10</v>
      </c>
      <c r="D655">
        <v>22242.98</v>
      </c>
      <c r="E655">
        <v>57185143.439999998</v>
      </c>
      <c r="F655">
        <v>222581210.28999999</v>
      </c>
      <c r="G655">
        <v>279766353.73000002</v>
      </c>
      <c r="H655" t="s">
        <v>26</v>
      </c>
    </row>
    <row r="656" spans="1:8" x14ac:dyDescent="0.2">
      <c r="A656" t="str">
        <f t="shared" si="10"/>
        <v>2034</v>
      </c>
      <c r="B656" s="3" t="s">
        <v>128</v>
      </c>
      <c r="C656" t="s">
        <v>11</v>
      </c>
      <c r="D656">
        <v>2186.69</v>
      </c>
      <c r="E656">
        <v>4778553.3899999997</v>
      </c>
      <c r="F656">
        <v>19916271.609999999</v>
      </c>
      <c r="G656">
        <v>24694826.640000001</v>
      </c>
      <c r="H656" t="s">
        <v>26</v>
      </c>
    </row>
    <row r="657" spans="1:8" x14ac:dyDescent="0.2">
      <c r="A657" t="str">
        <f t="shared" si="10"/>
        <v>2034</v>
      </c>
      <c r="B657" s="3" t="s">
        <v>128</v>
      </c>
      <c r="C657" t="s">
        <v>12</v>
      </c>
      <c r="D657">
        <v>4702.1099999999997</v>
      </c>
      <c r="E657">
        <v>13894306</v>
      </c>
      <c r="F657">
        <v>56697612.460000001</v>
      </c>
      <c r="G657">
        <v>70591918.459999993</v>
      </c>
      <c r="H657" t="s">
        <v>26</v>
      </c>
    </row>
    <row r="658" spans="1:8" x14ac:dyDescent="0.2">
      <c r="A658" t="str">
        <f t="shared" si="10"/>
        <v>2034</v>
      </c>
      <c r="B658" s="3" t="s">
        <v>128</v>
      </c>
      <c r="C658" t="s">
        <v>16</v>
      </c>
      <c r="D658">
        <v>474.78</v>
      </c>
      <c r="E658">
        <v>1192490.6599999999</v>
      </c>
      <c r="F658">
        <v>5371854.2699999996</v>
      </c>
      <c r="G658">
        <v>6564345.9100000001</v>
      </c>
      <c r="H658" t="s">
        <v>26</v>
      </c>
    </row>
    <row r="659" spans="1:8" x14ac:dyDescent="0.2">
      <c r="A659" t="str">
        <f t="shared" si="10"/>
        <v>2034</v>
      </c>
      <c r="B659" s="3" t="s">
        <v>128</v>
      </c>
      <c r="C659" t="s">
        <v>38</v>
      </c>
      <c r="D659">
        <v>8090.76</v>
      </c>
      <c r="E659">
        <v>17680647.539999999</v>
      </c>
      <c r="F659">
        <v>73690204.959999993</v>
      </c>
      <c r="G659">
        <v>91370858.560000002</v>
      </c>
      <c r="H659" t="s">
        <v>26</v>
      </c>
    </row>
    <row r="660" spans="1:8" x14ac:dyDescent="0.2">
      <c r="A660" t="str">
        <f t="shared" si="10"/>
        <v>2034</v>
      </c>
      <c r="B660" s="3" t="s">
        <v>129</v>
      </c>
      <c r="C660" t="s">
        <v>8</v>
      </c>
      <c r="D660">
        <v>216.07</v>
      </c>
      <c r="E660">
        <v>468818.91</v>
      </c>
      <c r="F660">
        <v>1828948.35</v>
      </c>
      <c r="G660">
        <v>2297767.25</v>
      </c>
      <c r="H660" t="s">
        <v>26</v>
      </c>
    </row>
    <row r="661" spans="1:8" x14ac:dyDescent="0.2">
      <c r="A661" t="str">
        <f t="shared" si="10"/>
        <v>2034</v>
      </c>
      <c r="B661" s="3" t="s">
        <v>129</v>
      </c>
      <c r="C661" t="s">
        <v>10</v>
      </c>
      <c r="D661">
        <v>22488.42</v>
      </c>
      <c r="E661">
        <v>57816162.850000001</v>
      </c>
      <c r="F661">
        <v>225037321.34</v>
      </c>
      <c r="G661">
        <v>282853484.19</v>
      </c>
      <c r="H661" t="s">
        <v>26</v>
      </c>
    </row>
    <row r="662" spans="1:8" x14ac:dyDescent="0.2">
      <c r="A662" t="str">
        <f t="shared" si="10"/>
        <v>2034</v>
      </c>
      <c r="B662" s="3" t="s">
        <v>129</v>
      </c>
      <c r="C662" t="s">
        <v>11</v>
      </c>
      <c r="D662">
        <v>2210.8200000000002</v>
      </c>
      <c r="E662">
        <v>4831283.17</v>
      </c>
      <c r="F662">
        <v>20136041.170000002</v>
      </c>
      <c r="G662">
        <v>24967325.989999998</v>
      </c>
      <c r="H662" t="s">
        <v>26</v>
      </c>
    </row>
    <row r="663" spans="1:8" x14ac:dyDescent="0.2">
      <c r="A663" t="str">
        <f t="shared" si="10"/>
        <v>2034</v>
      </c>
      <c r="B663" s="3" t="s">
        <v>129</v>
      </c>
      <c r="C663" t="s">
        <v>12</v>
      </c>
      <c r="D663">
        <v>4753.99</v>
      </c>
      <c r="E663">
        <v>14047625.130000001</v>
      </c>
      <c r="F663">
        <v>57323252.119999997</v>
      </c>
      <c r="G663">
        <v>71370877.25</v>
      </c>
      <c r="H663" t="s">
        <v>26</v>
      </c>
    </row>
    <row r="664" spans="1:8" x14ac:dyDescent="0.2">
      <c r="A664" t="str">
        <f t="shared" si="10"/>
        <v>2034</v>
      </c>
      <c r="B664" s="3" t="s">
        <v>129</v>
      </c>
      <c r="C664" t="s">
        <v>16</v>
      </c>
      <c r="D664">
        <v>480.02</v>
      </c>
      <c r="E664">
        <v>1205649.4099999999</v>
      </c>
      <c r="F664">
        <v>5431130.9299999997</v>
      </c>
      <c r="G664">
        <v>6636781.3200000003</v>
      </c>
      <c r="H664" t="s">
        <v>26</v>
      </c>
    </row>
    <row r="665" spans="1:8" x14ac:dyDescent="0.2">
      <c r="A665" t="str">
        <f t="shared" si="10"/>
        <v>2034</v>
      </c>
      <c r="B665" s="3" t="s">
        <v>129</v>
      </c>
      <c r="C665" t="s">
        <v>38</v>
      </c>
      <c r="D665">
        <v>8180.03</v>
      </c>
      <c r="E665">
        <v>17875747.710000001</v>
      </c>
      <c r="F665">
        <v>74503352.329999998</v>
      </c>
      <c r="G665">
        <v>92379106.180000007</v>
      </c>
      <c r="H665" t="s">
        <v>26</v>
      </c>
    </row>
    <row r="666" spans="1:8" x14ac:dyDescent="0.2">
      <c r="A666" t="str">
        <f t="shared" si="10"/>
        <v>2034</v>
      </c>
      <c r="B666" s="3" t="s">
        <v>130</v>
      </c>
      <c r="C666" t="s">
        <v>8</v>
      </c>
      <c r="D666">
        <v>198.65</v>
      </c>
      <c r="E666">
        <v>431031.65</v>
      </c>
      <c r="F666">
        <v>1681533.34</v>
      </c>
      <c r="G666">
        <v>2112564.9900000002</v>
      </c>
      <c r="H666" t="s">
        <v>26</v>
      </c>
    </row>
    <row r="667" spans="1:8" x14ac:dyDescent="0.2">
      <c r="A667" t="str">
        <f t="shared" si="10"/>
        <v>2034</v>
      </c>
      <c r="B667" s="3" t="s">
        <v>130</v>
      </c>
      <c r="C667" t="s">
        <v>10</v>
      </c>
      <c r="D667">
        <v>20675.830000000002</v>
      </c>
      <c r="E667">
        <v>53156124.149999999</v>
      </c>
      <c r="F667">
        <v>206899095.38</v>
      </c>
      <c r="G667">
        <v>260055219.53</v>
      </c>
      <c r="H667" t="s">
        <v>26</v>
      </c>
    </row>
    <row r="668" spans="1:8" x14ac:dyDescent="0.2">
      <c r="A668" t="str">
        <f t="shared" si="10"/>
        <v>2034</v>
      </c>
      <c r="B668" s="3" t="s">
        <v>130</v>
      </c>
      <c r="C668" t="s">
        <v>11</v>
      </c>
      <c r="D668">
        <v>2032.63</v>
      </c>
      <c r="E668">
        <v>4441877.07</v>
      </c>
      <c r="F668">
        <v>18513056.760000002</v>
      </c>
      <c r="G668">
        <v>22954935.350000001</v>
      </c>
      <c r="H668" t="s">
        <v>26</v>
      </c>
    </row>
    <row r="669" spans="1:8" x14ac:dyDescent="0.2">
      <c r="A669" t="str">
        <f t="shared" si="10"/>
        <v>2034</v>
      </c>
      <c r="B669" s="3" t="s">
        <v>130</v>
      </c>
      <c r="C669" t="s">
        <v>12</v>
      </c>
      <c r="D669">
        <v>4370.82</v>
      </c>
      <c r="E669">
        <v>12915372.939999999</v>
      </c>
      <c r="F669">
        <v>52702942.5</v>
      </c>
      <c r="G669">
        <v>65618315.450000003</v>
      </c>
      <c r="H669" t="s">
        <v>26</v>
      </c>
    </row>
    <row r="670" spans="1:8" x14ac:dyDescent="0.2">
      <c r="A670" t="str">
        <f t="shared" si="10"/>
        <v>2034</v>
      </c>
      <c r="B670" s="3" t="s">
        <v>130</v>
      </c>
      <c r="C670" t="s">
        <v>16</v>
      </c>
      <c r="D670">
        <v>441.33</v>
      </c>
      <c r="E670">
        <v>1108472.8999999999</v>
      </c>
      <c r="F670">
        <v>4993376.5199999996</v>
      </c>
      <c r="G670">
        <v>6101850.3200000003</v>
      </c>
      <c r="H670" t="s">
        <v>26</v>
      </c>
    </row>
    <row r="671" spans="1:8" x14ac:dyDescent="0.2">
      <c r="A671" t="str">
        <f t="shared" si="10"/>
        <v>2034</v>
      </c>
      <c r="B671" s="3" t="s">
        <v>130</v>
      </c>
      <c r="C671" t="s">
        <v>38</v>
      </c>
      <c r="D671">
        <v>7520.72</v>
      </c>
      <c r="E671">
        <v>16434945.140000001</v>
      </c>
      <c r="F671">
        <v>68498310</v>
      </c>
      <c r="G671">
        <v>84933260.790000007</v>
      </c>
      <c r="H671" t="s">
        <v>26</v>
      </c>
    </row>
    <row r="672" spans="1:8" x14ac:dyDescent="0.2">
      <c r="A672" t="str">
        <f t="shared" si="10"/>
        <v>2034</v>
      </c>
      <c r="B672" s="3" t="s">
        <v>131</v>
      </c>
      <c r="C672" t="s">
        <v>8</v>
      </c>
      <c r="D672">
        <v>192.67</v>
      </c>
      <c r="E672">
        <v>418057.67</v>
      </c>
      <c r="F672">
        <v>1630919.46</v>
      </c>
      <c r="G672">
        <v>2048977.13</v>
      </c>
      <c r="H672" t="s">
        <v>26</v>
      </c>
    </row>
    <row r="673" spans="1:8" x14ac:dyDescent="0.2">
      <c r="A673" t="str">
        <f t="shared" si="10"/>
        <v>2034</v>
      </c>
      <c r="B673" s="3" t="s">
        <v>131</v>
      </c>
      <c r="C673" t="s">
        <v>10</v>
      </c>
      <c r="D673">
        <v>20053.5</v>
      </c>
      <c r="E673">
        <v>51556133.520000003</v>
      </c>
      <c r="F673">
        <v>200671466.52000001</v>
      </c>
      <c r="G673">
        <v>252227600.03999999</v>
      </c>
      <c r="H673" t="s">
        <v>26</v>
      </c>
    </row>
    <row r="674" spans="1:8" x14ac:dyDescent="0.2">
      <c r="A674" t="str">
        <f t="shared" si="10"/>
        <v>2034</v>
      </c>
      <c r="B674" s="3" t="s">
        <v>131</v>
      </c>
      <c r="C674" t="s">
        <v>11</v>
      </c>
      <c r="D674">
        <v>1971.44</v>
      </c>
      <c r="E674">
        <v>4308177.29</v>
      </c>
      <c r="F674">
        <v>17955816.780000001</v>
      </c>
      <c r="G674">
        <v>22263995.559999999</v>
      </c>
      <c r="H674" t="s">
        <v>26</v>
      </c>
    </row>
    <row r="675" spans="1:8" x14ac:dyDescent="0.2">
      <c r="A675" t="str">
        <f t="shared" si="10"/>
        <v>2034</v>
      </c>
      <c r="B675" s="3" t="s">
        <v>131</v>
      </c>
      <c r="C675" t="s">
        <v>12</v>
      </c>
      <c r="D675">
        <v>4239.26</v>
      </c>
      <c r="E675">
        <v>12526622.34</v>
      </c>
      <c r="F675">
        <v>51116592.57</v>
      </c>
      <c r="G675">
        <v>63643214.909999996</v>
      </c>
      <c r="H675" t="s">
        <v>26</v>
      </c>
    </row>
    <row r="676" spans="1:8" x14ac:dyDescent="0.2">
      <c r="A676" t="str">
        <f t="shared" si="10"/>
        <v>2034</v>
      </c>
      <c r="B676" s="3" t="s">
        <v>131</v>
      </c>
      <c r="C676" t="s">
        <v>16</v>
      </c>
      <c r="D676">
        <v>428.05</v>
      </c>
      <c r="E676">
        <v>1075108.05</v>
      </c>
      <c r="F676">
        <v>4843076.7</v>
      </c>
      <c r="G676">
        <v>5918185.6299999999</v>
      </c>
      <c r="H676" t="s">
        <v>26</v>
      </c>
    </row>
    <row r="677" spans="1:8" x14ac:dyDescent="0.2">
      <c r="A677" t="str">
        <f t="shared" si="10"/>
        <v>2034</v>
      </c>
      <c r="B677" s="3" t="s">
        <v>131</v>
      </c>
      <c r="C677" t="s">
        <v>38</v>
      </c>
      <c r="D677">
        <v>7294.34</v>
      </c>
      <c r="E677">
        <v>15940255.99</v>
      </c>
      <c r="F677">
        <v>66436522.100000001</v>
      </c>
      <c r="G677">
        <v>82376783.560000002</v>
      </c>
      <c r="H677" t="s">
        <v>26</v>
      </c>
    </row>
    <row r="678" spans="1:8" x14ac:dyDescent="0.2">
      <c r="A678" t="str">
        <f t="shared" si="10"/>
        <v>2034</v>
      </c>
      <c r="B678" s="3" t="s">
        <v>132</v>
      </c>
      <c r="C678" t="s">
        <v>8</v>
      </c>
      <c r="D678">
        <v>156.96</v>
      </c>
      <c r="E678">
        <v>340556.32</v>
      </c>
      <c r="F678">
        <v>1328572.53</v>
      </c>
      <c r="G678">
        <v>1669128.86</v>
      </c>
      <c r="H678" t="s">
        <v>26</v>
      </c>
    </row>
    <row r="679" spans="1:8" x14ac:dyDescent="0.2">
      <c r="A679" t="str">
        <f t="shared" si="10"/>
        <v>2034</v>
      </c>
      <c r="B679" s="3" t="s">
        <v>132</v>
      </c>
      <c r="C679" t="s">
        <v>10</v>
      </c>
      <c r="D679">
        <v>16335.89</v>
      </c>
      <c r="E679">
        <v>41998433.759999998</v>
      </c>
      <c r="F679">
        <v>163470119.22</v>
      </c>
      <c r="G679">
        <v>205468552.97</v>
      </c>
      <c r="H679" t="s">
        <v>26</v>
      </c>
    </row>
    <row r="680" spans="1:8" x14ac:dyDescent="0.2">
      <c r="A680" t="str">
        <f t="shared" si="10"/>
        <v>2034</v>
      </c>
      <c r="B680" s="3" t="s">
        <v>132</v>
      </c>
      <c r="C680" t="s">
        <v>11</v>
      </c>
      <c r="D680">
        <v>1605.97</v>
      </c>
      <c r="E680">
        <v>3509508.69</v>
      </c>
      <c r="F680">
        <v>14627089.550000001</v>
      </c>
      <c r="G680">
        <v>18136599.440000001</v>
      </c>
      <c r="H680" t="s">
        <v>26</v>
      </c>
    </row>
    <row r="681" spans="1:8" x14ac:dyDescent="0.2">
      <c r="A681" t="str">
        <f t="shared" si="10"/>
        <v>2034</v>
      </c>
      <c r="B681" s="3" t="s">
        <v>132</v>
      </c>
      <c r="C681" t="s">
        <v>12</v>
      </c>
      <c r="D681">
        <v>3453.36</v>
      </c>
      <c r="E681">
        <v>10204382.73</v>
      </c>
      <c r="F681">
        <v>41640376.810000002</v>
      </c>
      <c r="G681">
        <v>51844759.539999999</v>
      </c>
      <c r="H681" t="s">
        <v>26</v>
      </c>
    </row>
    <row r="682" spans="1:8" x14ac:dyDescent="0.2">
      <c r="A682" t="str">
        <f t="shared" si="10"/>
        <v>2034</v>
      </c>
      <c r="B682" s="3" t="s">
        <v>132</v>
      </c>
      <c r="C682" t="s">
        <v>16</v>
      </c>
      <c r="D682">
        <v>348.69</v>
      </c>
      <c r="E682">
        <v>875799.85</v>
      </c>
      <c r="F682">
        <v>3945246.13</v>
      </c>
      <c r="G682">
        <v>4821046.6900000004</v>
      </c>
      <c r="H682" t="s">
        <v>26</v>
      </c>
    </row>
    <row r="683" spans="1:8" x14ac:dyDescent="0.2">
      <c r="A683" t="str">
        <f t="shared" si="10"/>
        <v>2034</v>
      </c>
      <c r="B683" s="3" t="s">
        <v>132</v>
      </c>
      <c r="C683" t="s">
        <v>38</v>
      </c>
      <c r="D683">
        <v>5942.09</v>
      </c>
      <c r="E683">
        <v>12985182.16</v>
      </c>
      <c r="F683">
        <v>54120231.32</v>
      </c>
      <c r="G683">
        <v>67105417.939999998</v>
      </c>
      <c r="H683" t="s">
        <v>26</v>
      </c>
    </row>
    <row r="684" spans="1:8" x14ac:dyDescent="0.2">
      <c r="A684" t="str">
        <f t="shared" si="10"/>
        <v>2034</v>
      </c>
      <c r="B684" s="3" t="s">
        <v>133</v>
      </c>
      <c r="C684" t="s">
        <v>8</v>
      </c>
      <c r="D684">
        <v>164.97</v>
      </c>
      <c r="E684">
        <v>357940.6</v>
      </c>
      <c r="F684">
        <v>1396391.79</v>
      </c>
      <c r="G684">
        <v>1754332.39</v>
      </c>
      <c r="H684" t="s">
        <v>26</v>
      </c>
    </row>
    <row r="685" spans="1:8" x14ac:dyDescent="0.2">
      <c r="A685" t="str">
        <f t="shared" si="10"/>
        <v>2034</v>
      </c>
      <c r="B685" s="3" t="s">
        <v>133</v>
      </c>
      <c r="C685" t="s">
        <v>10</v>
      </c>
      <c r="D685">
        <v>17169.79</v>
      </c>
      <c r="E685">
        <v>44142315.579999998</v>
      </c>
      <c r="F685">
        <v>171814730.81999999</v>
      </c>
      <c r="G685">
        <v>215957046.40000001</v>
      </c>
      <c r="H685" t="s">
        <v>26</v>
      </c>
    </row>
    <row r="686" spans="1:8" x14ac:dyDescent="0.2">
      <c r="A686" t="str">
        <f t="shared" si="10"/>
        <v>2034</v>
      </c>
      <c r="B686" s="3" t="s">
        <v>133</v>
      </c>
      <c r="C686" t="s">
        <v>11</v>
      </c>
      <c r="D686">
        <v>1687.95</v>
      </c>
      <c r="E686">
        <v>3688657.56</v>
      </c>
      <c r="F686">
        <v>15373754.33</v>
      </c>
      <c r="G686">
        <v>19062413.16</v>
      </c>
      <c r="H686" t="s">
        <v>26</v>
      </c>
    </row>
    <row r="687" spans="1:8" x14ac:dyDescent="0.2">
      <c r="A687" t="str">
        <f t="shared" si="10"/>
        <v>2034</v>
      </c>
      <c r="B687" s="3" t="s">
        <v>133</v>
      </c>
      <c r="C687" t="s">
        <v>12</v>
      </c>
      <c r="D687">
        <v>3629.65</v>
      </c>
      <c r="E687">
        <v>10725282.880000001</v>
      </c>
      <c r="F687">
        <v>43765981.009999998</v>
      </c>
      <c r="G687">
        <v>54491263.890000001</v>
      </c>
      <c r="H687" t="s">
        <v>26</v>
      </c>
    </row>
    <row r="688" spans="1:8" x14ac:dyDescent="0.2">
      <c r="A688" t="str">
        <f t="shared" si="10"/>
        <v>2034</v>
      </c>
      <c r="B688" s="3" t="s">
        <v>133</v>
      </c>
      <c r="C688" t="s">
        <v>16</v>
      </c>
      <c r="D688">
        <v>366.49</v>
      </c>
      <c r="E688">
        <v>920506.55</v>
      </c>
      <c r="F688">
        <v>4146637.96</v>
      </c>
      <c r="G688">
        <v>5067145.26</v>
      </c>
      <c r="H688" t="s">
        <v>26</v>
      </c>
    </row>
    <row r="689" spans="1:8" x14ac:dyDescent="0.2">
      <c r="A689" t="str">
        <f t="shared" si="10"/>
        <v>2034</v>
      </c>
      <c r="B689" s="3" t="s">
        <v>133</v>
      </c>
      <c r="C689" t="s">
        <v>38</v>
      </c>
      <c r="D689">
        <v>6245.41</v>
      </c>
      <c r="E689">
        <v>13648032.970000001</v>
      </c>
      <c r="F689">
        <v>56882891.020000003</v>
      </c>
      <c r="G689">
        <v>70530928.680000007</v>
      </c>
      <c r="H689" t="s">
        <v>26</v>
      </c>
    </row>
    <row r="690" spans="1:8" x14ac:dyDescent="0.2">
      <c r="A690" t="str">
        <f t="shared" si="10"/>
        <v>2035</v>
      </c>
      <c r="B690" s="3" t="s">
        <v>134</v>
      </c>
      <c r="C690" t="s">
        <v>10</v>
      </c>
      <c r="D690">
        <v>15282.93</v>
      </c>
      <c r="E690">
        <v>39291346.530000001</v>
      </c>
      <c r="F690">
        <v>152933348.40000001</v>
      </c>
      <c r="G690">
        <v>192224694.94</v>
      </c>
      <c r="H690" t="s">
        <v>26</v>
      </c>
    </row>
    <row r="691" spans="1:8" x14ac:dyDescent="0.2">
      <c r="A691" t="str">
        <f t="shared" si="10"/>
        <v>2035</v>
      </c>
      <c r="B691" s="3" t="s">
        <v>134</v>
      </c>
      <c r="C691" t="s">
        <v>11</v>
      </c>
      <c r="D691">
        <v>1533.43</v>
      </c>
      <c r="E691">
        <v>3350993.62</v>
      </c>
      <c r="F691">
        <v>13966423.23</v>
      </c>
      <c r="G691">
        <v>17317417.989999998</v>
      </c>
      <c r="H691" t="s">
        <v>26</v>
      </c>
    </row>
    <row r="692" spans="1:8" x14ac:dyDescent="0.2">
      <c r="A692" t="str">
        <f t="shared" si="10"/>
        <v>2035</v>
      </c>
      <c r="B692" s="3" t="s">
        <v>134</v>
      </c>
      <c r="C692" t="s">
        <v>12</v>
      </c>
      <c r="D692">
        <v>3297.39</v>
      </c>
      <c r="E692">
        <v>9743478.1899999995</v>
      </c>
      <c r="F692">
        <v>39759592.920000002</v>
      </c>
      <c r="G692">
        <v>49503071.100000001</v>
      </c>
      <c r="H692" t="s">
        <v>26</v>
      </c>
    </row>
    <row r="693" spans="1:8" x14ac:dyDescent="0.2">
      <c r="A693" t="str">
        <f t="shared" si="10"/>
        <v>2035</v>
      </c>
      <c r="B693" s="3" t="s">
        <v>134</v>
      </c>
      <c r="C693" t="s">
        <v>16</v>
      </c>
      <c r="D693">
        <v>332.94</v>
      </c>
      <c r="E693">
        <v>836242.33</v>
      </c>
      <c r="F693">
        <v>3767049.96</v>
      </c>
      <c r="G693">
        <v>4603292.97</v>
      </c>
      <c r="H693" t="s">
        <v>26</v>
      </c>
    </row>
    <row r="694" spans="1:8" x14ac:dyDescent="0.2">
      <c r="A694" t="str">
        <f t="shared" si="10"/>
        <v>2035</v>
      </c>
      <c r="B694" s="3" t="s">
        <v>134</v>
      </c>
      <c r="C694" t="s">
        <v>38</v>
      </c>
      <c r="D694">
        <v>7667.16</v>
      </c>
      <c r="E694">
        <v>16754968.08</v>
      </c>
      <c r="F694">
        <v>69832116.140000001</v>
      </c>
      <c r="G694">
        <v>86587089.969999999</v>
      </c>
      <c r="H694" t="s">
        <v>26</v>
      </c>
    </row>
    <row r="695" spans="1:8" x14ac:dyDescent="0.2">
      <c r="A695" t="str">
        <f t="shared" si="10"/>
        <v>2035</v>
      </c>
      <c r="B695" s="3" t="s">
        <v>135</v>
      </c>
      <c r="C695" t="s">
        <v>10</v>
      </c>
      <c r="D695">
        <v>14563.06</v>
      </c>
      <c r="E695">
        <v>37440598.840000004</v>
      </c>
      <c r="F695">
        <v>145729700.11000001</v>
      </c>
      <c r="G695">
        <v>183170298.94999999</v>
      </c>
      <c r="H695" t="s">
        <v>26</v>
      </c>
    </row>
    <row r="696" spans="1:8" x14ac:dyDescent="0.2">
      <c r="A696" t="str">
        <f t="shared" si="10"/>
        <v>2035</v>
      </c>
      <c r="B696" s="3" t="s">
        <v>135</v>
      </c>
      <c r="C696" t="s">
        <v>11</v>
      </c>
      <c r="D696">
        <v>1461.2</v>
      </c>
      <c r="E696">
        <v>3193151.13</v>
      </c>
      <c r="F696">
        <v>13308560.17</v>
      </c>
      <c r="G696">
        <v>16501712.4</v>
      </c>
      <c r="H696" t="s">
        <v>26</v>
      </c>
    </row>
    <row r="697" spans="1:8" x14ac:dyDescent="0.2">
      <c r="A697" t="str">
        <f t="shared" si="10"/>
        <v>2035</v>
      </c>
      <c r="B697" s="3" t="s">
        <v>135</v>
      </c>
      <c r="C697" t="s">
        <v>12</v>
      </c>
      <c r="D697">
        <v>3142.07</v>
      </c>
      <c r="E697">
        <v>9284529.3000000007</v>
      </c>
      <c r="F697">
        <v>37886789.329999998</v>
      </c>
      <c r="G697">
        <v>47171318.630000003</v>
      </c>
      <c r="H697" t="s">
        <v>26</v>
      </c>
    </row>
    <row r="698" spans="1:8" x14ac:dyDescent="0.2">
      <c r="A698" t="str">
        <f t="shared" si="10"/>
        <v>2035</v>
      </c>
      <c r="B698" s="3" t="s">
        <v>135</v>
      </c>
      <c r="C698" t="s">
        <v>16</v>
      </c>
      <c r="D698">
        <v>317.26</v>
      </c>
      <c r="E698">
        <v>796852.65</v>
      </c>
      <c r="F698">
        <v>3589609.9</v>
      </c>
      <c r="G698">
        <v>4386463.2</v>
      </c>
      <c r="H698" t="s">
        <v>26</v>
      </c>
    </row>
    <row r="699" spans="1:8" x14ac:dyDescent="0.2">
      <c r="A699" t="str">
        <f t="shared" si="10"/>
        <v>2035</v>
      </c>
      <c r="B699" s="3" t="s">
        <v>135</v>
      </c>
      <c r="C699" t="s">
        <v>38</v>
      </c>
      <c r="D699">
        <v>7306.01</v>
      </c>
      <c r="E699">
        <v>15965755.67</v>
      </c>
      <c r="F699">
        <v>66542800.829999998</v>
      </c>
      <c r="G699">
        <v>82508561.980000004</v>
      </c>
      <c r="H699" t="s">
        <v>26</v>
      </c>
    </row>
    <row r="700" spans="1:8" x14ac:dyDescent="0.2">
      <c r="A700" t="str">
        <f t="shared" si="10"/>
        <v>2035</v>
      </c>
      <c r="B700" s="3" t="s">
        <v>136</v>
      </c>
      <c r="C700" t="s">
        <v>10</v>
      </c>
      <c r="D700">
        <v>18120.52</v>
      </c>
      <c r="E700">
        <v>46586579.060000002</v>
      </c>
      <c r="F700">
        <v>181328515.18000001</v>
      </c>
      <c r="G700">
        <v>227915094.25</v>
      </c>
      <c r="H700" t="s">
        <v>26</v>
      </c>
    </row>
    <row r="701" spans="1:8" x14ac:dyDescent="0.2">
      <c r="A701" t="str">
        <f t="shared" si="10"/>
        <v>2035</v>
      </c>
      <c r="B701" s="3" t="s">
        <v>136</v>
      </c>
      <c r="C701" t="s">
        <v>11</v>
      </c>
      <c r="D701">
        <v>1818.14</v>
      </c>
      <c r="E701">
        <v>3973173.3</v>
      </c>
      <c r="F701">
        <v>16559571.949999999</v>
      </c>
      <c r="G701">
        <v>20532746.620000001</v>
      </c>
      <c r="H701" t="s">
        <v>26</v>
      </c>
    </row>
    <row r="702" spans="1:8" x14ac:dyDescent="0.2">
      <c r="A702" t="str">
        <f t="shared" si="10"/>
        <v>2035</v>
      </c>
      <c r="B702" s="3" t="s">
        <v>136</v>
      </c>
      <c r="C702" t="s">
        <v>12</v>
      </c>
      <c r="D702">
        <v>3909.61</v>
      </c>
      <c r="E702">
        <v>11552551.82</v>
      </c>
      <c r="F702">
        <v>47141764.850000001</v>
      </c>
      <c r="G702">
        <v>58694316.670000002</v>
      </c>
      <c r="H702" t="s">
        <v>26</v>
      </c>
    </row>
    <row r="703" spans="1:8" x14ac:dyDescent="0.2">
      <c r="A703" t="str">
        <f t="shared" si="10"/>
        <v>2035</v>
      </c>
      <c r="B703" s="3" t="s">
        <v>136</v>
      </c>
      <c r="C703" t="s">
        <v>16</v>
      </c>
      <c r="D703">
        <v>394.76</v>
      </c>
      <c r="E703">
        <v>991507.61</v>
      </c>
      <c r="F703">
        <v>4466478.92</v>
      </c>
      <c r="G703">
        <v>5457987.3399999999</v>
      </c>
      <c r="H703" t="s">
        <v>26</v>
      </c>
    </row>
    <row r="704" spans="1:8" x14ac:dyDescent="0.2">
      <c r="A704" t="str">
        <f t="shared" si="10"/>
        <v>2035</v>
      </c>
      <c r="B704" s="3" t="s">
        <v>136</v>
      </c>
      <c r="C704" t="s">
        <v>38</v>
      </c>
      <c r="D704">
        <v>9090.7199999999993</v>
      </c>
      <c r="E704">
        <v>19865866.510000002</v>
      </c>
      <c r="F704">
        <v>82797859.75</v>
      </c>
      <c r="G704">
        <v>102663733.08</v>
      </c>
      <c r="H704" t="s">
        <v>26</v>
      </c>
    </row>
    <row r="705" spans="1:8" x14ac:dyDescent="0.2">
      <c r="A705" t="str">
        <f t="shared" si="10"/>
        <v>2035</v>
      </c>
      <c r="B705" s="3" t="s">
        <v>137</v>
      </c>
      <c r="C705" t="s">
        <v>10</v>
      </c>
      <c r="D705">
        <v>19210.28</v>
      </c>
      <c r="E705">
        <v>49388293.18</v>
      </c>
      <c r="F705">
        <v>192233601.38999999</v>
      </c>
      <c r="G705">
        <v>241621894.56999999</v>
      </c>
      <c r="H705" t="s">
        <v>26</v>
      </c>
    </row>
    <row r="706" spans="1:8" x14ac:dyDescent="0.2">
      <c r="A706" t="str">
        <f t="shared" si="10"/>
        <v>2035</v>
      </c>
      <c r="B706" s="3" t="s">
        <v>137</v>
      </c>
      <c r="C706" t="s">
        <v>11</v>
      </c>
      <c r="D706">
        <v>1927.49</v>
      </c>
      <c r="E706">
        <v>4212119.71</v>
      </c>
      <c r="F706">
        <v>17555463.629999999</v>
      </c>
      <c r="G706">
        <v>21767584.789999999</v>
      </c>
      <c r="H706" t="s">
        <v>26</v>
      </c>
    </row>
    <row r="707" spans="1:8" x14ac:dyDescent="0.2">
      <c r="A707" t="str">
        <f t="shared" ref="A707:A749" si="11">LEFT(B707,4)</f>
        <v>2035</v>
      </c>
      <c r="B707" s="3" t="s">
        <v>137</v>
      </c>
      <c r="C707" t="s">
        <v>12</v>
      </c>
      <c r="D707">
        <v>4144.74</v>
      </c>
      <c r="E707">
        <v>12247321.6</v>
      </c>
      <c r="F707">
        <v>49976867.810000002</v>
      </c>
      <c r="G707">
        <v>62224189.409999996</v>
      </c>
      <c r="H707" t="s">
        <v>26</v>
      </c>
    </row>
    <row r="708" spans="1:8" x14ac:dyDescent="0.2">
      <c r="A708" t="str">
        <f t="shared" si="11"/>
        <v>2035</v>
      </c>
      <c r="B708" s="3" t="s">
        <v>137</v>
      </c>
      <c r="C708" t="s">
        <v>16</v>
      </c>
      <c r="D708">
        <v>418.5</v>
      </c>
      <c r="E708">
        <v>1051136.82</v>
      </c>
      <c r="F708">
        <v>4735092.7</v>
      </c>
      <c r="G708">
        <v>5786230.3799999999</v>
      </c>
      <c r="H708" t="s">
        <v>26</v>
      </c>
    </row>
    <row r="709" spans="1:8" x14ac:dyDescent="0.2">
      <c r="A709" t="str">
        <f t="shared" si="11"/>
        <v>2035</v>
      </c>
      <c r="B709" s="3" t="s">
        <v>137</v>
      </c>
      <c r="C709" t="s">
        <v>38</v>
      </c>
      <c r="D709">
        <v>9637.44</v>
      </c>
      <c r="E709">
        <v>21060598.550000001</v>
      </c>
      <c r="F709">
        <v>87777318.150000006</v>
      </c>
      <c r="G709">
        <v>108837923.93000001</v>
      </c>
      <c r="H709" t="s">
        <v>26</v>
      </c>
    </row>
    <row r="710" spans="1:8" x14ac:dyDescent="0.2">
      <c r="A710" t="str">
        <f t="shared" si="11"/>
        <v>2035</v>
      </c>
      <c r="B710" s="3" t="s">
        <v>138</v>
      </c>
      <c r="C710" t="s">
        <v>10</v>
      </c>
      <c r="D710">
        <v>20784.16</v>
      </c>
      <c r="E710">
        <v>53434614.909999996</v>
      </c>
      <c r="F710">
        <v>207983062.43000001</v>
      </c>
      <c r="G710">
        <v>261417677.34999999</v>
      </c>
      <c r="H710" t="s">
        <v>26</v>
      </c>
    </row>
    <row r="711" spans="1:8" x14ac:dyDescent="0.2">
      <c r="A711" t="str">
        <f t="shared" si="11"/>
        <v>2035</v>
      </c>
      <c r="B711" s="3" t="s">
        <v>138</v>
      </c>
      <c r="C711" t="s">
        <v>11</v>
      </c>
      <c r="D711">
        <v>2085.4</v>
      </c>
      <c r="E711">
        <v>4557213.47</v>
      </c>
      <c r="F711">
        <v>18993761.039999999</v>
      </c>
      <c r="G711">
        <v>23550976.07</v>
      </c>
      <c r="H711" t="s">
        <v>26</v>
      </c>
    </row>
    <row r="712" spans="1:8" x14ac:dyDescent="0.2">
      <c r="A712" t="str">
        <f t="shared" si="11"/>
        <v>2035</v>
      </c>
      <c r="B712" s="3" t="s">
        <v>138</v>
      </c>
      <c r="C712" t="s">
        <v>12</v>
      </c>
      <c r="D712">
        <v>4484.3100000000004</v>
      </c>
      <c r="E712">
        <v>13250729.51</v>
      </c>
      <c r="F712">
        <v>54071410.729999997</v>
      </c>
      <c r="G712">
        <v>67322140.239999995</v>
      </c>
      <c r="H712" t="s">
        <v>26</v>
      </c>
    </row>
    <row r="713" spans="1:8" x14ac:dyDescent="0.2">
      <c r="A713" t="str">
        <f t="shared" si="11"/>
        <v>2035</v>
      </c>
      <c r="B713" s="3" t="s">
        <v>138</v>
      </c>
      <c r="C713" t="s">
        <v>16</v>
      </c>
      <c r="D713">
        <v>452.79</v>
      </c>
      <c r="E713">
        <v>1137255.1599999999</v>
      </c>
      <c r="F713">
        <v>5123032.9800000004</v>
      </c>
      <c r="G713">
        <v>6260289.0700000003</v>
      </c>
      <c r="H713" t="s">
        <v>26</v>
      </c>
    </row>
    <row r="714" spans="1:8" x14ac:dyDescent="0.2">
      <c r="A714" t="str">
        <f t="shared" si="11"/>
        <v>2035</v>
      </c>
      <c r="B714" s="3" t="s">
        <v>138</v>
      </c>
      <c r="C714" t="s">
        <v>38</v>
      </c>
      <c r="D714">
        <v>10427.02</v>
      </c>
      <c r="E714">
        <v>22786067.329999998</v>
      </c>
      <c r="F714">
        <v>94968805.189999998</v>
      </c>
      <c r="G714">
        <v>117754880.33</v>
      </c>
      <c r="H714" t="s">
        <v>26</v>
      </c>
    </row>
    <row r="715" spans="1:8" x14ac:dyDescent="0.2">
      <c r="A715" t="str">
        <f t="shared" si="11"/>
        <v>2035</v>
      </c>
      <c r="B715" s="3" t="s">
        <v>139</v>
      </c>
      <c r="C715" t="s">
        <v>10</v>
      </c>
      <c r="D715">
        <v>21267.22</v>
      </c>
      <c r="E715">
        <v>54676528.57</v>
      </c>
      <c r="F715">
        <v>212816951.61000001</v>
      </c>
      <c r="G715">
        <v>267493480.18000001</v>
      </c>
      <c r="H715" t="s">
        <v>26</v>
      </c>
    </row>
    <row r="716" spans="1:8" x14ac:dyDescent="0.2">
      <c r="A716" t="str">
        <f t="shared" si="11"/>
        <v>2035</v>
      </c>
      <c r="B716" s="3" t="s">
        <v>139</v>
      </c>
      <c r="C716" t="s">
        <v>11</v>
      </c>
      <c r="D716">
        <v>2133.87</v>
      </c>
      <c r="E716">
        <v>4663131.0599999996</v>
      </c>
      <c r="F716">
        <v>19435209.18</v>
      </c>
      <c r="G716">
        <v>24098341.829999998</v>
      </c>
      <c r="H716" t="s">
        <v>26</v>
      </c>
    </row>
    <row r="717" spans="1:8" x14ac:dyDescent="0.2">
      <c r="A717" t="str">
        <f t="shared" si="11"/>
        <v>2035</v>
      </c>
      <c r="B717" s="3" t="s">
        <v>139</v>
      </c>
      <c r="C717" t="s">
        <v>12</v>
      </c>
      <c r="D717">
        <v>4588.53</v>
      </c>
      <c r="E717">
        <v>13558699.57</v>
      </c>
      <c r="F717">
        <v>55328124.640000001</v>
      </c>
      <c r="G717">
        <v>68886824.209999993</v>
      </c>
      <c r="H717" t="s">
        <v>26</v>
      </c>
    </row>
    <row r="718" spans="1:8" x14ac:dyDescent="0.2">
      <c r="A718" t="str">
        <f t="shared" si="11"/>
        <v>2035</v>
      </c>
      <c r="B718" s="3" t="s">
        <v>139</v>
      </c>
      <c r="C718" t="s">
        <v>16</v>
      </c>
      <c r="D718">
        <v>463.31</v>
      </c>
      <c r="E718">
        <v>1163686.95</v>
      </c>
      <c r="F718">
        <v>5242101.2</v>
      </c>
      <c r="G718">
        <v>6405789.1100000003</v>
      </c>
      <c r="H718" t="s">
        <v>26</v>
      </c>
    </row>
    <row r="719" spans="1:8" x14ac:dyDescent="0.2">
      <c r="A719" t="str">
        <f t="shared" si="11"/>
        <v>2035</v>
      </c>
      <c r="B719" s="3" t="s">
        <v>139</v>
      </c>
      <c r="C719" t="s">
        <v>38</v>
      </c>
      <c r="D719">
        <v>10669.36</v>
      </c>
      <c r="E719">
        <v>23315655.280000001</v>
      </c>
      <c r="F719">
        <v>97176045.879999995</v>
      </c>
      <c r="G719">
        <v>120491709.16</v>
      </c>
      <c r="H719" t="s">
        <v>26</v>
      </c>
    </row>
    <row r="720" spans="1:8" x14ac:dyDescent="0.2">
      <c r="A720" t="str">
        <f t="shared" si="11"/>
        <v>2035</v>
      </c>
      <c r="B720" s="3" t="s">
        <v>140</v>
      </c>
      <c r="C720" t="s">
        <v>10</v>
      </c>
      <c r="D720">
        <v>22695.439999999999</v>
      </c>
      <c r="E720">
        <v>58348390.439999998</v>
      </c>
      <c r="F720">
        <v>227108905.94</v>
      </c>
      <c r="G720">
        <v>285457296.38</v>
      </c>
      <c r="H720" t="s">
        <v>26</v>
      </c>
    </row>
    <row r="721" spans="1:8" x14ac:dyDescent="0.2">
      <c r="A721" t="str">
        <f t="shared" si="11"/>
        <v>2035</v>
      </c>
      <c r="B721" s="3" t="s">
        <v>140</v>
      </c>
      <c r="C721" t="s">
        <v>11</v>
      </c>
      <c r="D721">
        <v>2277.1799999999998</v>
      </c>
      <c r="E721">
        <v>4976288.7</v>
      </c>
      <c r="F721">
        <v>20740401.829999998</v>
      </c>
      <c r="G721">
        <v>25716692.239999998</v>
      </c>
      <c r="H721" t="s">
        <v>26</v>
      </c>
    </row>
    <row r="722" spans="1:8" x14ac:dyDescent="0.2">
      <c r="A722" t="str">
        <f t="shared" si="11"/>
        <v>2035</v>
      </c>
      <c r="B722" s="3" t="s">
        <v>140</v>
      </c>
      <c r="C722" t="s">
        <v>12</v>
      </c>
      <c r="D722">
        <v>4896.68</v>
      </c>
      <c r="E722">
        <v>14469248.82</v>
      </c>
      <c r="F722">
        <v>59043745.149999999</v>
      </c>
      <c r="G722">
        <v>73512993.969999999</v>
      </c>
      <c r="H722" t="s">
        <v>26</v>
      </c>
    </row>
    <row r="723" spans="1:8" x14ac:dyDescent="0.2">
      <c r="A723" t="str">
        <f t="shared" si="11"/>
        <v>2035</v>
      </c>
      <c r="B723" s="3" t="s">
        <v>140</v>
      </c>
      <c r="C723" t="s">
        <v>16</v>
      </c>
      <c r="D723">
        <v>494.43</v>
      </c>
      <c r="E723">
        <v>1241835.6200000001</v>
      </c>
      <c r="F723">
        <v>5594140.2199999997</v>
      </c>
      <c r="G723">
        <v>6835976.8600000003</v>
      </c>
      <c r="H723" t="s">
        <v>26</v>
      </c>
    </row>
    <row r="724" spans="1:8" x14ac:dyDescent="0.2">
      <c r="A724" t="str">
        <f t="shared" si="11"/>
        <v>2035</v>
      </c>
      <c r="B724" s="3" t="s">
        <v>140</v>
      </c>
      <c r="C724" t="s">
        <v>38</v>
      </c>
      <c r="D724">
        <v>11385.88</v>
      </c>
      <c r="E724">
        <v>24881443.52</v>
      </c>
      <c r="F724">
        <v>103702009.15000001</v>
      </c>
      <c r="G724">
        <v>128583461.20999999</v>
      </c>
      <c r="H724" t="s">
        <v>26</v>
      </c>
    </row>
    <row r="725" spans="1:8" x14ac:dyDescent="0.2">
      <c r="A725" t="str">
        <f t="shared" si="11"/>
        <v>2035</v>
      </c>
      <c r="B725" s="3" t="s">
        <v>141</v>
      </c>
      <c r="C725" t="s">
        <v>10</v>
      </c>
      <c r="D725">
        <v>22945.88</v>
      </c>
      <c r="E725">
        <v>58992245.899999999</v>
      </c>
      <c r="F725">
        <v>229614978.63</v>
      </c>
      <c r="G725">
        <v>288607224.52999997</v>
      </c>
      <c r="H725" t="s">
        <v>26</v>
      </c>
    </row>
    <row r="726" spans="1:8" x14ac:dyDescent="0.2">
      <c r="A726" t="str">
        <f t="shared" si="11"/>
        <v>2035</v>
      </c>
      <c r="B726" s="3" t="s">
        <v>141</v>
      </c>
      <c r="C726" t="s">
        <v>11</v>
      </c>
      <c r="D726">
        <v>2302.3000000000002</v>
      </c>
      <c r="E726">
        <v>5031200.43</v>
      </c>
      <c r="F726">
        <v>20969265.399999999</v>
      </c>
      <c r="G726">
        <v>26000467.550000001</v>
      </c>
      <c r="H726" t="s">
        <v>26</v>
      </c>
    </row>
    <row r="727" spans="1:8" x14ac:dyDescent="0.2">
      <c r="A727" t="str">
        <f t="shared" si="11"/>
        <v>2035</v>
      </c>
      <c r="B727" s="3" t="s">
        <v>141</v>
      </c>
      <c r="C727" t="s">
        <v>12</v>
      </c>
      <c r="D727">
        <v>4950.71</v>
      </c>
      <c r="E727">
        <v>14628912.26</v>
      </c>
      <c r="F727">
        <v>59695273.619999997</v>
      </c>
      <c r="G727">
        <v>74324185.879999995</v>
      </c>
      <c r="H727" t="s">
        <v>26</v>
      </c>
    </row>
    <row r="728" spans="1:8" x14ac:dyDescent="0.2">
      <c r="A728" t="str">
        <f t="shared" si="11"/>
        <v>2035</v>
      </c>
      <c r="B728" s="3" t="s">
        <v>141</v>
      </c>
      <c r="C728" t="s">
        <v>16</v>
      </c>
      <c r="D728">
        <v>499.88</v>
      </c>
      <c r="E728">
        <v>1255538.8700000001</v>
      </c>
      <c r="F728">
        <v>5655869.7300000004</v>
      </c>
      <c r="G728">
        <v>6911409.6299999999</v>
      </c>
      <c r="H728" t="s">
        <v>26</v>
      </c>
    </row>
    <row r="729" spans="1:8" x14ac:dyDescent="0.2">
      <c r="A729" t="str">
        <f t="shared" si="11"/>
        <v>2035</v>
      </c>
      <c r="B729" s="3" t="s">
        <v>141</v>
      </c>
      <c r="C729" t="s">
        <v>38</v>
      </c>
      <c r="D729">
        <v>11511.52</v>
      </c>
      <c r="E729">
        <v>25156002.129999999</v>
      </c>
      <c r="F729">
        <v>104846327</v>
      </c>
      <c r="G729">
        <v>130002337.76000001</v>
      </c>
      <c r="H729" t="s">
        <v>26</v>
      </c>
    </row>
    <row r="730" spans="1:8" x14ac:dyDescent="0.2">
      <c r="A730" t="str">
        <f t="shared" si="11"/>
        <v>2035</v>
      </c>
      <c r="B730" s="3" t="s">
        <v>142</v>
      </c>
      <c r="C730" t="s">
        <v>10</v>
      </c>
      <c r="D730">
        <v>21096.42</v>
      </c>
      <c r="E730">
        <v>54237413.770000003</v>
      </c>
      <c r="F730">
        <v>211107789.06</v>
      </c>
      <c r="G730">
        <v>265345202.81999999</v>
      </c>
      <c r="H730" t="s">
        <v>26</v>
      </c>
    </row>
    <row r="731" spans="1:8" x14ac:dyDescent="0.2">
      <c r="A731" t="str">
        <f t="shared" si="11"/>
        <v>2035</v>
      </c>
      <c r="B731" s="3" t="s">
        <v>142</v>
      </c>
      <c r="C731" t="s">
        <v>11</v>
      </c>
      <c r="D731">
        <v>2116.7399999999998</v>
      </c>
      <c r="E731">
        <v>4625680.8</v>
      </c>
      <c r="F731">
        <v>19279122.309999999</v>
      </c>
      <c r="G731">
        <v>23904804.699999999</v>
      </c>
      <c r="H731" t="s">
        <v>26</v>
      </c>
    </row>
    <row r="732" spans="1:8" x14ac:dyDescent="0.2">
      <c r="A732" t="str">
        <f t="shared" si="11"/>
        <v>2035</v>
      </c>
      <c r="B732" s="3" t="s">
        <v>142</v>
      </c>
      <c r="C732" t="s">
        <v>12</v>
      </c>
      <c r="D732">
        <v>4551.68</v>
      </c>
      <c r="E732">
        <v>13449807.77</v>
      </c>
      <c r="F732">
        <v>54883776.770000003</v>
      </c>
      <c r="G732">
        <v>68333584.540000007</v>
      </c>
      <c r="H732" t="s">
        <v>26</v>
      </c>
    </row>
    <row r="733" spans="1:8" x14ac:dyDescent="0.2">
      <c r="A733" t="str">
        <f t="shared" si="11"/>
        <v>2035</v>
      </c>
      <c r="B733" s="3" t="s">
        <v>142</v>
      </c>
      <c r="C733" t="s">
        <v>16</v>
      </c>
      <c r="D733">
        <v>459.59</v>
      </c>
      <c r="E733">
        <v>1154341.22</v>
      </c>
      <c r="F733">
        <v>5200001.16</v>
      </c>
      <c r="G733">
        <v>6354343.3300000001</v>
      </c>
      <c r="H733" t="s">
        <v>26</v>
      </c>
    </row>
    <row r="734" spans="1:8" x14ac:dyDescent="0.2">
      <c r="A734" t="str">
        <f t="shared" si="11"/>
        <v>2035</v>
      </c>
      <c r="B734" s="3" t="s">
        <v>142</v>
      </c>
      <c r="C734" t="s">
        <v>38</v>
      </c>
      <c r="D734">
        <v>10583.68</v>
      </c>
      <c r="E734">
        <v>23128404.010000002</v>
      </c>
      <c r="F734">
        <v>96395611.540000007</v>
      </c>
      <c r="G734">
        <v>119524023.48</v>
      </c>
      <c r="H734" t="s">
        <v>26</v>
      </c>
    </row>
    <row r="735" spans="1:8" x14ac:dyDescent="0.2">
      <c r="A735" t="str">
        <f t="shared" si="11"/>
        <v>2035</v>
      </c>
      <c r="B735" s="3" t="s">
        <v>143</v>
      </c>
      <c r="C735" t="s">
        <v>10</v>
      </c>
      <c r="D735">
        <v>20461.419999999998</v>
      </c>
      <c r="E735">
        <v>52604876.5</v>
      </c>
      <c r="F735">
        <v>204753479.21000001</v>
      </c>
      <c r="G735">
        <v>257358355.71000001</v>
      </c>
      <c r="H735" t="s">
        <v>26</v>
      </c>
    </row>
    <row r="736" spans="1:8" x14ac:dyDescent="0.2">
      <c r="A736" t="str">
        <f t="shared" si="11"/>
        <v>2035</v>
      </c>
      <c r="B736" s="3" t="s">
        <v>143</v>
      </c>
      <c r="C736" t="s">
        <v>11</v>
      </c>
      <c r="D736">
        <v>2053.02</v>
      </c>
      <c r="E736">
        <v>4486448.57</v>
      </c>
      <c r="F736">
        <v>18698823.890000001</v>
      </c>
      <c r="G736">
        <v>23185273.989999998</v>
      </c>
      <c r="H736" t="s">
        <v>26</v>
      </c>
    </row>
    <row r="737" spans="1:8" x14ac:dyDescent="0.2">
      <c r="A737" t="str">
        <f t="shared" si="11"/>
        <v>2035</v>
      </c>
      <c r="B737" s="3" t="s">
        <v>143</v>
      </c>
      <c r="C737" t="s">
        <v>12</v>
      </c>
      <c r="D737">
        <v>4414.68</v>
      </c>
      <c r="E737">
        <v>13044970.76</v>
      </c>
      <c r="F737">
        <v>53231784.090000004</v>
      </c>
      <c r="G737">
        <v>66276754.850000001</v>
      </c>
      <c r="H737" t="s">
        <v>26</v>
      </c>
    </row>
    <row r="738" spans="1:8" x14ac:dyDescent="0.2">
      <c r="A738" t="str">
        <f t="shared" si="11"/>
        <v>2035</v>
      </c>
      <c r="B738" s="3" t="s">
        <v>143</v>
      </c>
      <c r="C738" t="s">
        <v>16</v>
      </c>
      <c r="D738">
        <v>445.76</v>
      </c>
      <c r="E738">
        <v>1119595.74</v>
      </c>
      <c r="F738">
        <v>5043481.9800000004</v>
      </c>
      <c r="G738">
        <v>6163078.6299999999</v>
      </c>
      <c r="H738" t="s">
        <v>26</v>
      </c>
    </row>
    <row r="739" spans="1:8" x14ac:dyDescent="0.2">
      <c r="A739" t="str">
        <f t="shared" si="11"/>
        <v>2035</v>
      </c>
      <c r="B739" s="3" t="s">
        <v>143</v>
      </c>
      <c r="C739" t="s">
        <v>38</v>
      </c>
      <c r="D739">
        <v>10265.11</v>
      </c>
      <c r="E739">
        <v>22432242.84</v>
      </c>
      <c r="F739">
        <v>93494119.430000007</v>
      </c>
      <c r="G739">
        <v>115926369.95999999</v>
      </c>
      <c r="H739" t="s">
        <v>26</v>
      </c>
    </row>
    <row r="740" spans="1:8" x14ac:dyDescent="0.2">
      <c r="A740" t="str">
        <f t="shared" si="11"/>
        <v>2035</v>
      </c>
      <c r="B740" s="3" t="s">
        <v>144</v>
      </c>
      <c r="C740" t="s">
        <v>10</v>
      </c>
      <c r="D740">
        <v>16668.189999999999</v>
      </c>
      <c r="E740">
        <v>42852756.210000001</v>
      </c>
      <c r="F740">
        <v>166795390.68000001</v>
      </c>
      <c r="G740">
        <v>209648146.88999999</v>
      </c>
      <c r="H740" t="s">
        <v>26</v>
      </c>
    </row>
    <row r="741" spans="1:8" x14ac:dyDescent="0.2">
      <c r="A741" t="str">
        <f t="shared" si="11"/>
        <v>2035</v>
      </c>
      <c r="B741" s="3" t="s">
        <v>144</v>
      </c>
      <c r="C741" t="s">
        <v>11</v>
      </c>
      <c r="D741">
        <v>1672.42</v>
      </c>
      <c r="E741">
        <v>3654731.26</v>
      </c>
      <c r="F741">
        <v>15232354.77</v>
      </c>
      <c r="G741">
        <v>18887087.280000001</v>
      </c>
      <c r="H741" t="s">
        <v>26</v>
      </c>
    </row>
    <row r="742" spans="1:8" x14ac:dyDescent="0.2">
      <c r="A742" t="str">
        <f t="shared" si="11"/>
        <v>2035</v>
      </c>
      <c r="B742" s="3" t="s">
        <v>144</v>
      </c>
      <c r="C742" t="s">
        <v>12</v>
      </c>
      <c r="D742">
        <v>3596.26</v>
      </c>
      <c r="E742">
        <v>10626637.470000001</v>
      </c>
      <c r="F742">
        <v>43363444.950000003</v>
      </c>
      <c r="G742">
        <v>53990082.420000002</v>
      </c>
      <c r="H742" t="s">
        <v>26</v>
      </c>
    </row>
    <row r="743" spans="1:8" x14ac:dyDescent="0.2">
      <c r="A743" t="str">
        <f t="shared" si="11"/>
        <v>2035</v>
      </c>
      <c r="B743" s="3" t="s">
        <v>144</v>
      </c>
      <c r="C743" t="s">
        <v>16</v>
      </c>
      <c r="D743">
        <v>363.12</v>
      </c>
      <c r="E743">
        <v>912040.22</v>
      </c>
      <c r="F743">
        <v>4108499.4</v>
      </c>
      <c r="G743">
        <v>5020540.37</v>
      </c>
      <c r="H743" t="s">
        <v>26</v>
      </c>
    </row>
    <row r="744" spans="1:8" x14ac:dyDescent="0.2">
      <c r="A744" t="str">
        <f t="shared" si="11"/>
        <v>2035</v>
      </c>
      <c r="B744" s="3" t="s">
        <v>144</v>
      </c>
      <c r="C744" t="s">
        <v>38</v>
      </c>
      <c r="D744">
        <v>8362.1200000000008</v>
      </c>
      <c r="E744">
        <v>18273656.309999999</v>
      </c>
      <c r="F744">
        <v>76161773.840000004</v>
      </c>
      <c r="G744">
        <v>94435436.420000002</v>
      </c>
      <c r="H744" t="s">
        <v>26</v>
      </c>
    </row>
    <row r="745" spans="1:8" x14ac:dyDescent="0.2">
      <c r="A745" t="str">
        <f t="shared" si="11"/>
        <v>2035</v>
      </c>
      <c r="B745" s="3" t="s">
        <v>145</v>
      </c>
      <c r="C745" t="s">
        <v>10</v>
      </c>
      <c r="D745">
        <v>17519.05</v>
      </c>
      <c r="E745">
        <v>45040248.390000001</v>
      </c>
      <c r="F745">
        <v>175309746.44999999</v>
      </c>
      <c r="G745">
        <v>220349994.84</v>
      </c>
      <c r="H745" t="s">
        <v>26</v>
      </c>
    </row>
    <row r="746" spans="1:8" x14ac:dyDescent="0.2">
      <c r="A746" t="str">
        <f t="shared" si="11"/>
        <v>2035</v>
      </c>
      <c r="B746" s="3" t="s">
        <v>145</v>
      </c>
      <c r="C746" t="s">
        <v>11</v>
      </c>
      <c r="D746">
        <v>1757.8</v>
      </c>
      <c r="E746">
        <v>3841293.27</v>
      </c>
      <c r="F746">
        <v>16009916.35</v>
      </c>
      <c r="G746">
        <v>19851210.93</v>
      </c>
      <c r="H746" t="s">
        <v>26</v>
      </c>
    </row>
    <row r="747" spans="1:8" x14ac:dyDescent="0.2">
      <c r="A747" t="str">
        <f t="shared" si="11"/>
        <v>2035</v>
      </c>
      <c r="B747" s="3" t="s">
        <v>145</v>
      </c>
      <c r="C747" t="s">
        <v>12</v>
      </c>
      <c r="D747">
        <v>3779.84</v>
      </c>
      <c r="E747">
        <v>11169092.34</v>
      </c>
      <c r="F747">
        <v>45577006.100000001</v>
      </c>
      <c r="G747">
        <v>56746098.439999998</v>
      </c>
      <c r="H747" t="s">
        <v>26</v>
      </c>
    </row>
    <row r="748" spans="1:8" x14ac:dyDescent="0.2">
      <c r="A748" t="str">
        <f t="shared" si="11"/>
        <v>2035</v>
      </c>
      <c r="B748" s="3" t="s">
        <v>145</v>
      </c>
      <c r="C748" t="s">
        <v>16</v>
      </c>
      <c r="D748">
        <v>381.66</v>
      </c>
      <c r="E748">
        <v>958596.88</v>
      </c>
      <c r="F748">
        <v>4318224.7699999996</v>
      </c>
      <c r="G748">
        <v>5276822.4400000004</v>
      </c>
      <c r="H748" t="s">
        <v>26</v>
      </c>
    </row>
    <row r="749" spans="1:8" x14ac:dyDescent="0.2">
      <c r="A749" t="str">
        <f t="shared" si="11"/>
        <v>2035</v>
      </c>
      <c r="B749" s="3" t="s">
        <v>145</v>
      </c>
      <c r="C749" t="s">
        <v>38</v>
      </c>
      <c r="D749">
        <v>8788.98</v>
      </c>
      <c r="E749">
        <v>19206466.329999998</v>
      </c>
      <c r="F749">
        <v>80049581.739999995</v>
      </c>
      <c r="G749">
        <v>99256054.659999996</v>
      </c>
      <c r="H749" t="s">
        <v>26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year_flights_forecast</vt:lpstr>
      <vt:lpstr>vueling_historical_and_forecast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Marsol, Sergi</cp:lastModifiedBy>
  <dcterms:created xsi:type="dcterms:W3CDTF">2026-03-11T18:13:03Z</dcterms:created>
  <dcterms:modified xsi:type="dcterms:W3CDTF">2026-03-11T18:17:03Z</dcterms:modified>
</cp:coreProperties>
</file>