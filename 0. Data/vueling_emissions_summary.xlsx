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mf125_ic_ac_uk/Documents/Subjects/CIVE70117 - Sustainable Transport/Sustainability Project - Vueling/0. Data/"/>
    </mc:Choice>
  </mc:AlternateContent>
  <xr:revisionPtr revIDLastSave="94" documentId="11_2B59D2BFD3F0542F0F035ED1523088B35299F572" xr6:coauthVersionLast="47" xr6:coauthVersionMax="47" xr10:uidLastSave="{3AF223DF-B5AE-EE49-86D4-A4D76676C29E}"/>
  <bookViews>
    <workbookView xWindow="0" yWindow="660" windowWidth="29400" windowHeight="184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3" i="1"/>
  <c r="G4" i="1"/>
  <c r="G5" i="1"/>
  <c r="G6" i="1"/>
  <c r="G7" i="1"/>
  <c r="G8" i="1"/>
  <c r="G2" i="1"/>
  <c r="H9" i="1"/>
  <c r="H3" i="1"/>
  <c r="H4" i="1"/>
  <c r="H5" i="1"/>
  <c r="H6" i="1"/>
  <c r="H7" i="1"/>
  <c r="H8" i="1"/>
  <c r="H2" i="1"/>
  <c r="B9" i="1"/>
  <c r="D9" i="1"/>
  <c r="E9" i="1"/>
  <c r="F9" i="1"/>
  <c r="C9" i="1"/>
</calcChain>
</file>

<file path=xl/sharedStrings.xml><?xml version="1.0" encoding="utf-8"?>
<sst xmlns="http://schemas.openxmlformats.org/spreadsheetml/2006/main" count="16" uniqueCount="16">
  <si>
    <t>date</t>
  </si>
  <si>
    <t>Number_of_Flights</t>
  </si>
  <si>
    <t>total_distance_km</t>
  </si>
  <si>
    <t>LTO_CO2_tn</t>
  </si>
  <si>
    <t>CCD_CO2_tn</t>
  </si>
  <si>
    <t>Total_CO2_tn</t>
  </si>
  <si>
    <t>tn_CO2_per_flight</t>
  </si>
  <si>
    <t>kg_CO2_per_km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</si>
  <si>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</si>
  <si>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</si>
  <si>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</si>
  <si>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</si>
  <si>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</si>
  <si>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</si>
  <si>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</si>
  <si>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7 day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</si>
</sst>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2" borderId="1" xfId="0" applyNumberFormat="1" applyFont="1" applyFill="1" applyBorder="1" applyAlignment="1">
      <alignment horizontal="center" vertical="top"/>
    </xf>
    <xf numFmtId="2" fontId="3" fillId="2" borderId="2" xfId="0" applyNumberFormat="1" applyFont="1" applyFill="1" applyBorder="1" applyAlignment="1">
      <alignment horizontal="center" vertical="top"/>
    </xf>
    <xf numFmtId="2" fontId="0" fillId="3" borderId="1" xfId="0" applyNumberFormat="1" applyFill="1" applyBorder="1"/>
    <xf numFmtId="2" fontId="2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9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50" zoomScaleNormal="175" workbookViewId="0">
      <selection activeCell="G2" sqref="G2"/>
    </sheetView>
  </sheetViews>
  <sheetFormatPr defaultColWidth="8.85546875" defaultRowHeight="15"/>
  <cols>
    <col min="1" max="1" width="12" bestFit="1" customWidth="1"/>
    <col min="2" max="2" width="16.140625" bestFit="1" customWidth="1"/>
    <col min="3" max="3" width="17.85546875" bestFit="1" customWidth="1"/>
    <col min="4" max="4" width="14.7109375" bestFit="1" customWidth="1"/>
    <col min="5" max="6" width="15.7109375" bestFit="1" customWidth="1"/>
    <col min="7" max="7" width="15.42578125" bestFit="1" customWidth="1"/>
    <col min="8" max="8" width="13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>
        <v>197</v>
      </c>
      <c r="C2" s="3">
        <v>236577.14</v>
      </c>
      <c r="D2" s="3">
        <v>148.91464999999999</v>
      </c>
      <c r="E2" s="3">
        <v>2219.5093999999999</v>
      </c>
      <c r="F2" s="3">
        <v>2368.4243099999999</v>
      </c>
      <c r="G2" s="3">
        <f>F2/B2</f>
        <v>12.022458426395939</v>
      </c>
      <c r="H2" s="3">
        <f>F2/C2*1000</f>
        <v>10.011213720818501</v>
      </c>
    </row>
    <row r="3" spans="1:8">
      <c r="A3" s="3" t="s">
        <v>9</v>
      </c>
      <c r="B3" s="3">
        <v>208</v>
      </c>
      <c r="C3" s="3">
        <v>233841.1</v>
      </c>
      <c r="D3" s="3">
        <v>157.25675000000001</v>
      </c>
      <c r="E3" s="3">
        <v>2215.3175700000002</v>
      </c>
      <c r="F3" s="3">
        <v>2372.5745999999999</v>
      </c>
      <c r="G3" s="3">
        <f t="shared" ref="G3:G9" si="0">F3/B3</f>
        <v>11.406608653846153</v>
      </c>
      <c r="H3" s="3">
        <f>F3/C3*1000</f>
        <v>10.146097499541355</v>
      </c>
    </row>
    <row r="4" spans="1:8">
      <c r="A4" s="3" t="s">
        <v>10</v>
      </c>
      <c r="B4" s="3">
        <v>207</v>
      </c>
      <c r="C4" s="3">
        <v>267508.63</v>
      </c>
      <c r="D4" s="3">
        <v>157.20240000000001</v>
      </c>
      <c r="E4" s="3">
        <v>2511.8651199999999</v>
      </c>
      <c r="F4" s="3">
        <v>2669.0677700000001</v>
      </c>
      <c r="G4" s="3">
        <f t="shared" si="0"/>
        <v>12.894047198067634</v>
      </c>
      <c r="H4" s="3">
        <f>F4/C4*1000</f>
        <v>9.9775015482678082</v>
      </c>
    </row>
    <row r="5" spans="1:8">
      <c r="A5" s="3" t="s">
        <v>11</v>
      </c>
      <c r="B5" s="3">
        <v>219</v>
      </c>
      <c r="C5" s="3">
        <v>248096.5</v>
      </c>
      <c r="D5" s="3">
        <v>165.73654999999999</v>
      </c>
      <c r="E5" s="3">
        <v>2353.5736499999998</v>
      </c>
      <c r="F5" s="3">
        <v>2519.31052</v>
      </c>
      <c r="G5" s="3">
        <f t="shared" si="0"/>
        <v>11.50370100456621</v>
      </c>
      <c r="H5" s="3">
        <f>F5/C5*1000</f>
        <v>10.154558891399114</v>
      </c>
    </row>
    <row r="6" spans="1:8">
      <c r="A6" s="3" t="s">
        <v>12</v>
      </c>
      <c r="B6" s="3">
        <v>210</v>
      </c>
      <c r="C6" s="3">
        <v>233030.93</v>
      </c>
      <c r="D6" s="3">
        <v>159.17339999999999</v>
      </c>
      <c r="E6" s="3">
        <v>2219.4944099999998</v>
      </c>
      <c r="F6" s="3">
        <v>2378.6680900000001</v>
      </c>
      <c r="G6" s="3">
        <f t="shared" si="0"/>
        <v>11.326990904761905</v>
      </c>
      <c r="H6" s="3">
        <f>F6/C6*1000</f>
        <v>10.207520907203179</v>
      </c>
    </row>
    <row r="7" spans="1:8">
      <c r="A7" s="3" t="s">
        <v>13</v>
      </c>
      <c r="B7" s="3">
        <v>200</v>
      </c>
      <c r="C7" s="3">
        <v>249264.85</v>
      </c>
      <c r="D7" s="3">
        <v>151.05950000000001</v>
      </c>
      <c r="E7" s="3">
        <v>2333.6492899999998</v>
      </c>
      <c r="F7" s="3">
        <v>2484.7090699999999</v>
      </c>
      <c r="G7" s="3">
        <f t="shared" si="0"/>
        <v>12.423545349999999</v>
      </c>
      <c r="H7" s="3">
        <f>F7/C7*1000</f>
        <v>9.9681486178255767</v>
      </c>
    </row>
    <row r="8" spans="1:8">
      <c r="A8" s="3" t="s">
        <v>14</v>
      </c>
      <c r="B8" s="3">
        <v>165</v>
      </c>
      <c r="C8" s="3">
        <v>179251.31</v>
      </c>
      <c r="D8" s="3">
        <v>125.26949999999999</v>
      </c>
      <c r="E8" s="3">
        <v>1725.13525</v>
      </c>
      <c r="F8" s="3">
        <v>1850.40489</v>
      </c>
      <c r="G8" s="3">
        <f t="shared" si="0"/>
        <v>11.214575090909092</v>
      </c>
      <c r="H8" s="3">
        <f>F8/C8*1000</f>
        <v>10.322964390051041</v>
      </c>
    </row>
    <row r="9" spans="1:8">
      <c r="A9" s="4" t="s">
        <v>15</v>
      </c>
      <c r="B9" s="4">
        <f>AVERAGE(B2:B8)</f>
        <v>200.85714285714286</v>
      </c>
      <c r="C9" s="4">
        <f>AVERAGE(C2:C8)</f>
        <v>235367.20857142861</v>
      </c>
      <c r="D9" s="4">
        <f t="shared" ref="D9:F9" si="1">AVERAGE(D2:D8)</f>
        <v>152.08753571428574</v>
      </c>
      <c r="E9" s="4">
        <f t="shared" si="1"/>
        <v>2225.5063842857139</v>
      </c>
      <c r="F9" s="4">
        <f t="shared" si="1"/>
        <v>2377.5941785714285</v>
      </c>
      <c r="G9" s="4">
        <f t="shared" si="0"/>
        <v>11.837239864864864</v>
      </c>
      <c r="H9" s="4">
        <f>F9/C9*1000</f>
        <v>10.101637322388019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Liu, Yanzhi</cp:lastModifiedBy>
  <cp:revision/>
  <dcterms:created xsi:type="dcterms:W3CDTF">2026-01-31T18:02:52Z</dcterms:created>
  <dcterms:modified xsi:type="dcterms:W3CDTF">2026-02-25T09:49:02Z</dcterms:modified>
  <cp:category/>
  <cp:contentStatus/>
</cp:coreProperties>
</file>